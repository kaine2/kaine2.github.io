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니케 데이터\"/>
    </mc:Choice>
  </mc:AlternateContent>
  <xr:revisionPtr revIDLastSave="0" documentId="13_ncr:1_{DE90381F-99AF-4A66-8738-A42ABA499289}" xr6:coauthVersionLast="44" xr6:coauthVersionMax="44" xr10:uidLastSave="{00000000-0000-0000-0000-000000000000}"/>
  <bookViews>
    <workbookView xWindow="17460" yWindow="4305" windowWidth="21045" windowHeight="15930" xr2:uid="{00000000-000D-0000-FFFF-FFFF00000000}"/>
  </bookViews>
  <sheets>
    <sheet name="CharacterTable" sheetId="1" r:id="rId1"/>
    <sheet name="WeaponTable" sheetId="2" r:id="rId2"/>
    <sheet name="SkillTable" sheetId="3" r:id="rId3"/>
    <sheet name="SkillEffectTable" sheetId="4" r:id="rId4"/>
    <sheet name="VFXTable" sheetId="5" r:id="rId5"/>
    <sheet name="BalanceNote" sheetId="6" r:id="rId6"/>
  </sheets>
  <definedNames>
    <definedName name="_xlnm._FilterDatabase" localSheetId="5" hidden="1">BalanceNote!$A$2:$G$12</definedName>
    <definedName name="_xlnm._FilterDatabase" localSheetId="0" hidden="1">CharacterTable!$A$2:$N$13</definedName>
    <definedName name="_xlnm._FilterDatabase" localSheetId="3" hidden="1">SkillEffectTable!$A$2:$R$20</definedName>
    <definedName name="_xlnm._FilterDatabase" localSheetId="2" hidden="1">SkillTable!$A$2:$J$17</definedName>
    <definedName name="_xlnm._FilterDatabase" localSheetId="4" hidden="1">VFXTable!$A$2:$F$12</definedName>
    <definedName name="_xlnm._FilterDatabase" localSheetId="1" hidden="1">WeaponTable!$A$2:$N$15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0" i="4" l="1"/>
  <c r="P10" i="4"/>
  <c r="O10" i="4"/>
  <c r="N10" i="4"/>
  <c r="M10" i="4"/>
  <c r="L10" i="4"/>
  <c r="K10" i="4"/>
  <c r="J10" i="4"/>
  <c r="Q9" i="4"/>
  <c r="P9" i="4"/>
  <c r="O9" i="4"/>
  <c r="N9" i="4"/>
  <c r="M9" i="4"/>
  <c r="L9" i="4"/>
  <c r="K9" i="4"/>
  <c r="J9" i="4"/>
  <c r="Q8" i="4"/>
  <c r="P8" i="4"/>
  <c r="O8" i="4"/>
  <c r="N8" i="4"/>
  <c r="M8" i="4"/>
  <c r="L8" i="4"/>
  <c r="K8" i="4"/>
  <c r="J8" i="4"/>
  <c r="Q7" i="4"/>
  <c r="P7" i="4"/>
  <c r="O7" i="4"/>
  <c r="N7" i="4"/>
  <c r="M7" i="4"/>
  <c r="L7" i="4"/>
  <c r="K7" i="4"/>
  <c r="J7" i="4"/>
  <c r="Q6" i="4"/>
  <c r="P6" i="4"/>
  <c r="O6" i="4"/>
  <c r="N6" i="4"/>
  <c r="M6" i="4"/>
  <c r="L6" i="4"/>
  <c r="K6" i="4"/>
  <c r="J6" i="4"/>
  <c r="Q5" i="4"/>
  <c r="P5" i="4"/>
  <c r="O5" i="4"/>
  <c r="N5" i="4"/>
  <c r="M5" i="4"/>
  <c r="L5" i="4"/>
  <c r="K5" i="4"/>
  <c r="J5" i="4"/>
</calcChain>
</file>

<file path=xl/sharedStrings.xml><?xml version="1.0" encoding="utf-8"?>
<sst xmlns="http://schemas.openxmlformats.org/spreadsheetml/2006/main" count="763" uniqueCount="444">
  <si>
    <t>캐릭터의 고유 아이디입니다.</t>
  </si>
  <si>
    <t>인게임에 표시되는 이름입니다.</t>
  </si>
  <si>
    <t>SSR / SR / R</t>
  </si>
  <si>
    <t>엘리시온 / 미실리스 / 테트라 / 필그림 / 콜라보</t>
  </si>
  <si>
    <t>캐릭터가 속한 스쿼드입니다.</t>
  </si>
  <si>
    <t>작열 / 수냉 / 풍압 / 전격 / 철갑</t>
  </si>
  <si>
    <t>화력형 / 지원형 / 방어형</t>
  </si>
  <si>
    <t>I / II / III</t>
  </si>
  <si>
    <t>버스트 스킬 재사용 시간(초)입니다.</t>
  </si>
  <si>
    <t>WeaponDataTable 참조 키입니다.</t>
  </si>
  <si>
    <t>무기 변환 캐릭터만 사용합니다. 없으면 공란.</t>
  </si>
  <si>
    <t>Lv.200 / 코어0 / 장비 미착용 기준값입니다.</t>
  </si>
  <si>
    <t>Lv.200 기준값입니다.</t>
  </si>
  <si>
    <t>CharacterID</t>
  </si>
  <si>
    <t>CharacterName</t>
  </si>
  <si>
    <t>Rarity</t>
  </si>
  <si>
    <t>Corporation</t>
  </si>
  <si>
    <t>Squad</t>
  </si>
  <si>
    <t>ElementCode</t>
  </si>
  <si>
    <t>ClassType</t>
  </si>
  <si>
    <t>BurstType</t>
  </si>
  <si>
    <t>BurstCooldown</t>
  </si>
  <si>
    <t>WeaponID</t>
  </si>
  <si>
    <t>TransformWeaponID</t>
  </si>
  <si>
    <t>BaseATK</t>
  </si>
  <si>
    <t>BaseDEF</t>
  </si>
  <si>
    <t>BaseHP</t>
  </si>
  <si>
    <t>DataSource</t>
  </si>
  <si>
    <t>Notes</t>
  </si>
  <si>
    <t>캐릭터 아이디</t>
  </si>
  <si>
    <t>캐릭터명</t>
  </si>
  <si>
    <t>등급</t>
  </si>
  <si>
    <t>제조 회사</t>
  </si>
  <si>
    <t>소속 부대</t>
  </si>
  <si>
    <t>코드</t>
  </si>
  <si>
    <t>클래스</t>
  </si>
  <si>
    <t>버스트 타입</t>
  </si>
  <si>
    <t>버스트 재사용</t>
  </si>
  <si>
    <t>기본 무기 ID</t>
  </si>
  <si>
    <t>변환 무기 ID</t>
  </si>
  <si>
    <t>기본 공격력</t>
  </si>
  <si>
    <t>기본 방어력</t>
  </si>
  <si>
    <t>기본 체력</t>
  </si>
  <si>
    <t>데이터 출처</t>
  </si>
  <si>
    <t>비고</t>
  </si>
  <si>
    <t>string</t>
  </si>
  <si>
    <t>enum</t>
  </si>
  <si>
    <t>float</t>
  </si>
  <si>
    <t>int</t>
  </si>
  <si>
    <t>CHR_PROOF</t>
  </si>
  <si>
    <t>프루프</t>
  </si>
  <si>
    <t>SSR</t>
  </si>
  <si>
    <t>미실리스</t>
  </si>
  <si>
    <t>E&amp;T</t>
  </si>
  <si>
    <t>풍압</t>
  </si>
  <si>
    <t>지원형</t>
  </si>
  <si>
    <t>I</t>
  </si>
  <si>
    <t>WPN_SMG_STD</t>
  </si>
  <si>
    <t>250000</t>
  </si>
  <si>
    <t>22000</t>
  </si>
  <si>
    <t>1450000</t>
  </si>
  <si>
    <t>CHR_RITA</t>
  </si>
  <si>
    <t>리타</t>
  </si>
  <si>
    <t>마이티 툴즈</t>
  </si>
  <si>
    <t>철갑</t>
  </si>
  <si>
    <t>Verified</t>
  </si>
  <si>
    <t>CHR_ROUGE</t>
  </si>
  <si>
    <t>루주</t>
  </si>
  <si>
    <t>WPN_SR_ROUGE</t>
  </si>
  <si>
    <t>CHR_MAXWELL_OM</t>
  </si>
  <si>
    <t>맥스웰: 오디너리 미케닉</t>
  </si>
  <si>
    <t>메티스</t>
  </si>
  <si>
    <t>II</t>
  </si>
  <si>
    <t>WPN_SR_MAXWELL</t>
  </si>
  <si>
    <t>WPN_MAXWELL_BURST</t>
  </si>
  <si>
    <t>CHR_TRINA</t>
  </si>
  <si>
    <t>트리나</t>
  </si>
  <si>
    <t>보타닉 가든</t>
  </si>
  <si>
    <t>WPN_RL_TRINA</t>
  </si>
  <si>
    <t>CHR_LAPLACE_UH</t>
  </si>
  <si>
    <t>라플라스: 얼티밋 히어로</t>
  </si>
  <si>
    <t>화력형</t>
  </si>
  <si>
    <t>III</t>
  </si>
  <si>
    <t>WPN_RL_LAPLACE</t>
  </si>
  <si>
    <t>WPN_LAPLACE_TF</t>
  </si>
  <si>
    <t>CHR_CINDERELLA</t>
  </si>
  <si>
    <t>신데렐라</t>
  </si>
  <si>
    <t>필그림</t>
  </si>
  <si>
    <t>전격</t>
  </si>
  <si>
    <t>방어형</t>
  </si>
  <si>
    <t>WPN_RL_CINDERELLA</t>
  </si>
  <si>
    <t>CHR_CINDERELLA_CW</t>
  </si>
  <si>
    <t>신데렐라: 크리스탈 웨이브</t>
  </si>
  <si>
    <t>WPN_MG_CCW</t>
  </si>
  <si>
    <t>WPN_CCW_SNIPE</t>
  </si>
  <si>
    <t>CHR_HELM_TREASURE</t>
  </si>
  <si>
    <t>헬름 (애장품)</t>
  </si>
  <si>
    <t>엘리시온</t>
  </si>
  <si>
    <t>WPN_SR_HELM</t>
  </si>
  <si>
    <t>무기의 고유 아이디입니다.</t>
  </si>
  <si>
    <t>인게임 표시 이름입니다.</t>
  </si>
  <si>
    <t>AR / SMG / SG / SR / RL / MG</t>
  </si>
  <si>
    <t>일반형 / 차지형</t>
  </si>
  <si>
    <t>기본 최대 장탄 수(발)입니다.</t>
  </si>
  <si>
    <t>재장전에 걸리는 시간(초)입니다.</t>
  </si>
  <si>
    <t>1발당 공격력 배율(%)입니다.</t>
  </si>
  <si>
    <t>초당 발사 가능한 탄 수입니다.</t>
  </si>
  <si>
    <t>차지형 무기만 사용합니다.</t>
  </si>
  <si>
    <t>풀 차지 시 대미지 배율(%)입니다.</t>
  </si>
  <si>
    <t>코어 명중 시 대미지 배율(%)입니다.</t>
  </si>
  <si>
    <t>FALSE면 탄 소진 시 모드가 해제됩니다.</t>
  </si>
  <si>
    <t>Verified / Estimated / New</t>
  </si>
  <si>
    <t>WeaponName</t>
  </si>
  <si>
    <t>WeaponType</t>
  </si>
  <si>
    <t>ControlType</t>
  </si>
  <si>
    <t>MaxAmmo</t>
  </si>
  <si>
    <t>ReloadTime</t>
  </si>
  <si>
    <t>ATKCoefficient</t>
  </si>
  <si>
    <t>FireRate</t>
  </si>
  <si>
    <t>ChargeTime</t>
  </si>
  <si>
    <t>FullChargeDmg</t>
  </si>
  <si>
    <t>CoreDmg</t>
  </si>
  <si>
    <t>IsReloadable</t>
  </si>
  <si>
    <t>무기 아이디</t>
  </si>
  <si>
    <t>무기명</t>
  </si>
  <si>
    <t>무기 분류</t>
  </si>
  <si>
    <t>조작 타입</t>
  </si>
  <si>
    <t>최대 장탄 수</t>
  </si>
  <si>
    <t>재장전 시간</t>
  </si>
  <si>
    <t>공격력 계수</t>
  </si>
  <si>
    <t>초당 발사수</t>
  </si>
  <si>
    <t>차지 시간</t>
  </si>
  <si>
    <t>풀 차지 대미지</t>
  </si>
  <si>
    <t>코어 대미지</t>
  </si>
  <si>
    <t>재장전 가능</t>
  </si>
  <si>
    <t>bool</t>
  </si>
  <si>
    <t>기관단총</t>
  </si>
  <si>
    <t>SMG</t>
  </si>
  <si>
    <t>일반형</t>
  </si>
  <si>
    <t>TRUE</t>
  </si>
  <si>
    <t>리타 카드 실측 · FireRate만 추정</t>
  </si>
  <si>
    <t>마이 헤븐리 베이비</t>
  </si>
  <si>
    <t>SR</t>
  </si>
  <si>
    <t>차지형</t>
  </si>
  <si>
    <t>메티스 버스트 버스터</t>
  </si>
  <si>
    <t>버스트 중 변환 · 관통 특화</t>
  </si>
  <si>
    <t>저격소총</t>
  </si>
  <si>
    <t>런처</t>
  </si>
  <si>
    <t>RL</t>
  </si>
  <si>
    <t>런처(레이저)</t>
  </si>
  <si>
    <t>풀차지 200% · 표준과 다름</t>
  </si>
  <si>
    <t>얼티밋 히어로 신드롬</t>
  </si>
  <si>
    <t>기본 계수가 표준 RL의 1/27</t>
  </si>
  <si>
    <t>일렉트릭 파워 풀 차지</t>
  </si>
  <si>
    <t>MG</t>
  </si>
  <si>
    <t>FALSE</t>
  </si>
  <si>
    <t>변환 무기 · 재장전 불가</t>
  </si>
  <si>
    <t>머신건</t>
  </si>
  <si>
    <t>저격 모드</t>
  </si>
  <si>
    <t>변환 무기 · 풀차지 시 40발 소모</t>
  </si>
  <si>
    <t>※ IsReloadable=FALSE인 무기는 탄 소진 시 기본 무기로 되돌아갑니다 (라플라스 · 신크웨 변환 무기)</t>
  </si>
  <si>
    <t>스킬의 고유 아이디입니다.</t>
  </si>
  <si>
    <t>CharacterDataTable 참조 키입니다.</t>
  </si>
  <si>
    <t>Skill1 / Skill2 / Burst</t>
  </si>
  <si>
    <t>Passive / Active</t>
  </si>
  <si>
    <t>Active만 사용합니다(초).</t>
  </si>
  <si>
    <t>전투시작 / 풀버스트시작 / 버스트사용 / 풀차지공격 / 일반공격 / 재장전완료 / 아군탄소비</t>
  </si>
  <si>
    <t>N회 · N발 조건의 값입니다.</t>
  </si>
  <si>
    <t>자신 / 아군전체 / 조건부아군 / 적전체</t>
  </si>
  <si>
    <t>SkillID</t>
  </si>
  <si>
    <t>SkillSlot</t>
  </si>
  <si>
    <t>SkillName</t>
  </si>
  <si>
    <t>SkillType</t>
  </si>
  <si>
    <t>Cooldown</t>
  </si>
  <si>
    <t>TriggerEvent</t>
  </si>
  <si>
    <t>TriggerValue</t>
  </si>
  <si>
    <t>TargetType</t>
  </si>
  <si>
    <t>Description</t>
  </si>
  <si>
    <t>스킬 아이디</t>
  </si>
  <si>
    <t>스킬 슬롯</t>
  </si>
  <si>
    <t>스킬명</t>
  </si>
  <si>
    <t>스킬 타입</t>
  </si>
  <si>
    <t>재사용 시간</t>
  </si>
  <si>
    <t>발동 조건</t>
  </si>
  <si>
    <t>조건 수치</t>
  </si>
  <si>
    <t>대상</t>
  </si>
  <si>
    <t>효과 요약</t>
  </si>
  <si>
    <t>SK_PROOF_01</t>
  </si>
  <si>
    <t>Skill1</t>
  </si>
  <si>
    <t>쉴 시간 없어</t>
  </si>
  <si>
    <t>Passive</t>
  </si>
  <si>
    <t>풀버스트시작</t>
  </si>
  <si>
    <t>아군전체</t>
  </si>
  <si>
    <t>버스트 스킬 재사용 시간 감소</t>
  </si>
  <si>
    <t>SK_PROOF_02A</t>
  </si>
  <si>
    <t>Skill2</t>
  </si>
  <si>
    <t>성능 테스트 (1)</t>
  </si>
  <si>
    <t>전투시작</t>
  </si>
  <si>
    <t>최대 장탄 수 증가 · 무기 변환 아군은 2배</t>
  </si>
  <si>
    <t>SK_PROOF_02B</t>
  </si>
  <si>
    <t>성능 테스트 (2)</t>
  </si>
  <si>
    <t>아군탄소비</t>
  </si>
  <si>
    <t>시전자 기준 공격력 · 차지 속도 증가 (최대 5중첩)</t>
  </si>
  <si>
    <t>SK_PROOF_03</t>
  </si>
  <si>
    <t>Burst</t>
  </si>
  <si>
    <t>올 클리어</t>
  </si>
  <si>
    <t>Active</t>
  </si>
  <si>
    <t>버스트사용</t>
  </si>
  <si>
    <t>적전체</t>
  </si>
  <si>
    <t>적이 받는 대미지 증가</t>
  </si>
  <si>
    <t>SK_RITA_01</t>
  </si>
  <si>
    <t>리타 부스트</t>
  </si>
  <si>
    <t>사용 횟수별 쿨감 · 장탄 · 크리댐 · 공격력 (하위 중복)</t>
  </si>
  <si>
    <t>SK_RITA_02</t>
  </si>
  <si>
    <t>볼트 부스트</t>
  </si>
  <si>
    <t>조건부아군</t>
  </si>
  <si>
    <t>엄폐물 체력이 낮은 아군 2기 회복</t>
  </si>
  <si>
    <t>SK_RITA_03</t>
  </si>
  <si>
    <t>더블 부스트</t>
  </si>
  <si>
    <t>공격력 증가</t>
  </si>
  <si>
    <t>SK_MAXWELL_01</t>
  </si>
  <si>
    <t>순차적 리미트 해제</t>
  </si>
  <si>
    <t>풀차지공격</t>
  </si>
  <si>
    <t>최대 체력 증가(30중첩) · 버스트3단계 시 공격 대미지</t>
  </si>
  <si>
    <t>SK_MAXWELL_02</t>
  </si>
  <si>
    <t>출력 전환 시퀀스</t>
  </si>
  <si>
    <t>체력 비례 공격력 · 과전류 · 버스트 게이지 충전</t>
  </si>
  <si>
    <t>SK_MAXWELL_03</t>
  </si>
  <si>
    <t>무기 변환 · 공격 대미지 증가</t>
  </si>
  <si>
    <t>SK_LAPLACE_01</t>
  </si>
  <si>
    <t>자신</t>
  </si>
  <si>
    <t>예열 최대 중첩 시 무기 변환</t>
  </si>
  <si>
    <t>SK_LAPLACE_02</t>
  </si>
  <si>
    <t>오버 에너지</t>
  </si>
  <si>
    <t>일반공격</t>
  </si>
  <si>
    <t>오버 에너지 축적 (최대 4단계)</t>
  </si>
  <si>
    <t>SK_LAPLACE_03</t>
  </si>
  <si>
    <t>회생전력활용무장: 묠니르</t>
  </si>
  <si>
    <t>공격력 증가 · 적 전체 공격</t>
  </si>
  <si>
    <t>효과의 고유 아이디입니다.</t>
  </si>
  <si>
    <t>SkillDataTable 참조 키입니다.</t>
  </si>
  <si>
    <t>버킷이 같으면 합연산, 다르면 곱연산입니다.</t>
  </si>
  <si>
    <t>Percent / Second / Flat</t>
  </si>
  <si>
    <t>-1=지속, 0=즉시, 그 외 초 단위</t>
  </si>
  <si>
    <t>중첩이 없으면 1입니다.</t>
  </si>
  <si>
    <t>스킬 레벨 1 수치입니다.</t>
  </si>
  <si>
    <t>스킬 레벨 2 수치입니다.</t>
  </si>
  <si>
    <t>스킬 레벨 3 수치입니다.</t>
  </si>
  <si>
    <t>스킬 레벨 4 수치입니다.</t>
  </si>
  <si>
    <t>스킬 레벨 5 수치입니다.</t>
  </si>
  <si>
    <t>스킬 레벨 6 수치입니다.</t>
  </si>
  <si>
    <t>스킬 레벨 7 수치입니다.</t>
  </si>
  <si>
    <t>스킬 레벨 8 수치입니다.</t>
  </si>
  <si>
    <t>스킬 레벨 9 수치입니다.</t>
  </si>
  <si>
    <t>스킬 레벨 10 수치입니다.</t>
  </si>
  <si>
    <t>EffectID</t>
  </si>
  <si>
    <t>EffectName</t>
  </si>
  <si>
    <t>BuffType</t>
  </si>
  <si>
    <t>ValueType</t>
  </si>
  <si>
    <t>Duration</t>
  </si>
  <si>
    <t>MaxStack</t>
  </si>
  <si>
    <t>Lv01</t>
  </si>
  <si>
    <t>Lv02</t>
  </si>
  <si>
    <t>Lv03</t>
  </si>
  <si>
    <t>Lv04</t>
  </si>
  <si>
    <t>Lv05</t>
  </si>
  <si>
    <t>Lv06</t>
  </si>
  <si>
    <t>Lv07</t>
  </si>
  <si>
    <t>Lv08</t>
  </si>
  <si>
    <t>Lv09</t>
  </si>
  <si>
    <t>Lv10</t>
  </si>
  <si>
    <t>효과 아이디</t>
  </si>
  <si>
    <t>효과명</t>
  </si>
  <si>
    <t>버프 종류</t>
  </si>
  <si>
    <t>단위</t>
  </si>
  <si>
    <t>지속시간</t>
  </si>
  <si>
    <t>최대 중첩</t>
  </si>
  <si>
    <t>Lv.1</t>
  </si>
  <si>
    <t>Lv.2</t>
  </si>
  <si>
    <t>Lv.3</t>
  </si>
  <si>
    <t>Lv.4</t>
  </si>
  <si>
    <t>Lv.5</t>
  </si>
  <si>
    <t>Lv.6</t>
  </si>
  <si>
    <t>Lv.7</t>
  </si>
  <si>
    <t>Lv.8</t>
  </si>
  <si>
    <t>Lv.9</t>
  </si>
  <si>
    <t>Lv.10</t>
  </si>
  <si>
    <t>EF_PRF_01</t>
  </si>
  <si>
    <t>Second</t>
  </si>
  <si>
    <t>EF_PRF_02</t>
  </si>
  <si>
    <t>최대 장탄 수 증가 (일반)</t>
  </si>
  <si>
    <t>Percent</t>
  </si>
  <si>
    <t>EF_PRF_03</t>
  </si>
  <si>
    <t>최대 장탄 수 증가 (무기 변환)</t>
  </si>
  <si>
    <t>EF_PRF_04</t>
  </si>
  <si>
    <t>시전자 기준 공격력 증가</t>
  </si>
  <si>
    <t>ATKCaster</t>
  </si>
  <si>
    <t>EF_PRF_05</t>
  </si>
  <si>
    <t>차지 속도 증가</t>
  </si>
  <si>
    <t>ChargeSpeed</t>
  </si>
  <si>
    <t>EF_PRF_06</t>
  </si>
  <si>
    <t>적 받는 대미지 증가</t>
  </si>
  <si>
    <t>DamageTaken</t>
  </si>
  <si>
    <t>EF_RIT_01</t>
  </si>
  <si>
    <t>버스트 재사용 감소 (3회 누적)</t>
  </si>
  <si>
    <t>8.21</t>
  </si>
  <si>
    <t>EF_RIT_02</t>
  </si>
  <si>
    <t>최대 장탄 수 증가</t>
  </si>
  <si>
    <t>45.17</t>
  </si>
  <si>
    <t>EF_RIT_03</t>
  </si>
  <si>
    <t>크리티컬 대미지 증가</t>
  </si>
  <si>
    <t>CritDamage</t>
  </si>
  <si>
    <t>12.46</t>
  </si>
  <si>
    <t>EF_RIT_04</t>
  </si>
  <si>
    <t>ATK</t>
  </si>
  <si>
    <t>14.42</t>
  </si>
  <si>
    <t>EF_RIT_05</t>
  </si>
  <si>
    <t>66.00</t>
  </si>
  <si>
    <t>EF_MXW_01</t>
  </si>
  <si>
    <t>시전자 기준 최대 체력 증가</t>
  </si>
  <si>
    <t>MaxHP</t>
  </si>
  <si>
    <t>1.00</t>
  </si>
  <si>
    <t>EF_MXW_02</t>
  </si>
  <si>
    <t>공격 대미지 증가</t>
  </si>
  <si>
    <t>ATKDamage</t>
  </si>
  <si>
    <t>10.00</t>
  </si>
  <si>
    <t>EF_MXW_03</t>
  </si>
  <si>
    <t>체력 비례 공격력 증가</t>
  </si>
  <si>
    <t>EF_MXW_04</t>
  </si>
  <si>
    <t>버스트 게이지 충전</t>
  </si>
  <si>
    <t>BurstGauge</t>
  </si>
  <si>
    <t>7.15</t>
  </si>
  <si>
    <t>EF_MXW_05</t>
  </si>
  <si>
    <t>25.00</t>
  </si>
  <si>
    <t>※ 파란 글씨 = 직접 입력값(Lv.1 / Lv.10) · 검정 = 보간 수식 =ROUND($I+($R-$I)*(Lv-1)/9,2)</t>
  </si>
  <si>
    <t>※ Lv.1 = Lv.10 × 58% (SSR 표준 성장률). 기존 캐릭터는 인게임 표기값(Lv.10)만 기재했습니다.</t>
  </si>
  <si>
    <t>※ BuffType이 같으면 합연산, 다르면 곱연산입니다. DamageTaken은 버프형 계수와 분리되어 곱해집니다.</t>
  </si>
  <si>
    <t>연출의 고유 아이디입니다.</t>
  </si>
  <si>
    <t>연출이 출력되는 시점입니다.</t>
  </si>
  <si>
    <t>화면상 출력 좌표 기준입니다.</t>
  </si>
  <si>
    <t>출력 지속 시간(초)입니다.</t>
  </si>
  <si>
    <t>VFXID</t>
  </si>
  <si>
    <t>DisplayPosition</t>
  </si>
  <si>
    <t>EffectDesc</t>
  </si>
  <si>
    <t>연출 아이디</t>
  </si>
  <si>
    <t>트리거</t>
  </si>
  <si>
    <t>출력 위치</t>
  </si>
  <si>
    <t>연출 내용</t>
  </si>
  <si>
    <t>FX_PRF_01A</t>
  </si>
  <si>
    <t>풀 버스트 타임 시작 시</t>
  </si>
  <si>
    <t>화면 우측 중앙</t>
  </si>
  <si>
    <t>스킬 발동 UI 출력 (StringTable 연동)</t>
  </si>
  <si>
    <t>FX_PRF_01B</t>
  </si>
  <si>
    <t>풀 버스트 타임 시작 후</t>
  </si>
  <si>
    <t>프루프 우측</t>
  </si>
  <si>
    <t>푸른 시계 이펙트 · 1스킬 발동 인지용</t>
  </si>
  <si>
    <t>FX_PRF_01C</t>
  </si>
  <si>
    <t>화면 하단 포트레이트 아래</t>
  </si>
  <si>
    <t>버프 UI 출력</t>
  </si>
  <si>
    <t>FX_PRF_02A</t>
  </si>
  <si>
    <t>전투 시작 시</t>
  </si>
  <si>
    <t>전 캐릭터 우측 상단</t>
  </si>
  <si>
    <t>총알이 아래에서 위로 차오르는 UI</t>
  </si>
  <si>
    <t>FX_PRF_02B</t>
  </si>
  <si>
    <t>무기 변환 캐릭터 우측 상단</t>
  </si>
  <si>
    <t>장탄 증가폭이 더 큼을 알리는 추가 이펙트</t>
  </si>
  <si>
    <t>FX_PRF_02C</t>
  </si>
  <si>
    <t>아군 총 타격 600발 도달 시</t>
  </si>
  <si>
    <t>캐릭터 우측 상단</t>
  </si>
  <si>
    <t>체크 표시 + 중첩 횟수 출력 (최대 5)</t>
  </si>
  <si>
    <t>FX_PRF_02D</t>
  </si>
  <si>
    <t>버프 지속 중</t>
  </si>
  <si>
    <t>공격력 버프 UI 출력</t>
  </si>
  <si>
    <t>FX_PRF_03A</t>
  </si>
  <si>
    <t>버스트 스킬 사용 시</t>
  </si>
  <si>
    <t>보스 중앙</t>
  </si>
  <si>
    <t>홀로그램 이펙트 출력</t>
  </si>
  <si>
    <t>Effect / Skill / Character 아이디입니다.</t>
  </si>
  <si>
    <t>NoteID</t>
  </si>
  <si>
    <t>TargetID</t>
  </si>
  <si>
    <t>Item</t>
  </si>
  <si>
    <t>Value</t>
  </si>
  <si>
    <t>Benchmark</t>
  </si>
  <si>
    <t>Rationale</t>
  </si>
  <si>
    <t>RiskLever</t>
  </si>
  <si>
    <t>근거 아이디</t>
  </si>
  <si>
    <t>대상 아이디</t>
  </si>
  <si>
    <t>항목</t>
  </si>
  <si>
    <t>확정값</t>
  </si>
  <si>
    <t>비교 대상</t>
  </si>
  <si>
    <t>근거</t>
  </si>
  <si>
    <t>리스크 · 조정 레버</t>
  </si>
  <si>
    <t>BN_01</t>
  </si>
  <si>
    <t>1스킬 쿨타임 감소</t>
  </si>
  <si>
    <t>7.00초</t>
  </si>
  <si>
    <t>리타 8.21초(3회 누적) / 리틀 머메이드 7.48초(한정) / D:킬러와이프 · 루주 7.00초</t>
  </si>
  <si>
    <t>업계 표준선인 7초를 따름. 리타는 누적 구조라 3회차에야 8.21초에 도달하지만 프루프는 첫 사이클부터 7초를 제공해 초반 구간에서 앞선다. 단기전 특화 vs 장기전 특화로 역할이 분화된다.</t>
  </si>
  <si>
    <t>올리면 즉시 리틀 머메이드(한정 7.48초)를 침범한다. 7초가 상한선.</t>
  </si>
  <si>
    <t>BN_02</t>
  </si>
  <si>
    <t>2스킬 최대 장탄 (일반)</t>
  </si>
  <si>
    <t>25%</t>
  </si>
  <si>
    <t>리타 45.17% (단 5초 유지)</t>
  </si>
  <si>
    <t>수치는 낮으나 [지속]이라 커버리지가 100%. 리타는 20초 사이클 중 5초만 유지되어 커버리지 25%에 그친다.</t>
  </si>
  <si>
    <t>무기 변환 캐릭터가 없는 파티에서의 체감 강도가 관건.</t>
  </si>
  <si>
    <t>BN_03</t>
  </si>
  <si>
    <t>2스킬 최대 장탄 (변환)</t>
  </si>
  <si>
    <t>50%</t>
  </si>
  <si>
    <t>오버로드 장탄 옵션 기댓값 45.3%/줄</t>
  </si>
  <si>
    <t>오버로드 1줄과 동등한 값. 라플라스 사이클을 버스트 주기 20초에 맞추려면 +134.4%가 필요한데, 오버로드 2줄(90.6%)에 50%를 더하면 140.6%로 달성된다.</t>
  </si>
  <si>
    <t>50%를 넘기면 오버로드 세팅 동기 자체를 훼손한다.</t>
  </si>
  <si>
    <t>BN_04</t>
  </si>
  <si>
    <t>2스킬 발동 조건</t>
  </si>
  <si>
    <t>아군 공격 600발</t>
  </si>
  <si>
    <t>리틀 머메이드 아군 탄환 400 / 500발</t>
  </si>
  <si>
    <t>5중첩까지 3,000발이 필요하다. 연사 무기 파티(SMG·MG)에서만 최대 중첩에 도달해 히어로 라인 특화가 성립하고, 차지 파티에서는 램프업이 느려 의도적으로 약해진다.</t>
  </si>
  <si>
    <t>발수를 낮추면 범용성↑ 특화성↓. Ceiling 강도를 조절하는 핵심 레버.</t>
  </si>
  <si>
    <t>BN_05</t>
  </si>
  <si>
    <t>2스킬 차지 속도</t>
  </si>
  <si>
    <t>2% (5중첩 10%)</t>
  </si>
  <si>
    <t>차지 속도는 리타 · 크라운 · 맥스웰 모두 미보유</t>
  </si>
  <si>
    <t>맥스웰의 모든 패시브 트리거(풀 차지 공격)를 가속한다. 시뮬레이션 결과 동일 편성에서 맥스웰 딜이 33% 상승했다.</t>
  </si>
  <si>
    <t>차지 무기가 없는 파티에서는 사장된다.</t>
  </si>
  <si>
    <t>BN_06</t>
  </si>
  <si>
    <t>3스킬 받는 대미지 증가</t>
  </si>
  <si>
    <t>10% / 10초</t>
  </si>
  <si>
    <t>리틀 머메이드 5% / 헬름:아쿠아마린 28%(전격 코드 한정)</t>
  </si>
  <si>
    <t>버프형 대미지 증가 계수와 분리된 곱연산이라 리타의 합연산 버프와 무조건 중첩된다. 지속 10초는 풀버스트 구간과 정확히 일치.</t>
  </si>
  <si>
    <t>올리면 헬름:아쿠아마린(2버스트 · 코드 한정)의 상위호환이 된다.</t>
  </si>
  <si>
    <t>BN_07</t>
  </si>
  <si>
    <t>버스트 재사용 시간</t>
  </si>
  <si>
    <t>20.00초</t>
  </si>
  <si>
    <t>플로라 · 사쿠라 · 엠마 40초 = 실패 사례</t>
  </si>
  <si>
    <t>40초는 로테이션에서 이탈해 1버스트로 성립하지 않는다. 세 캐릭터 모두 이 때문에 채용률이 낮다.</t>
  </si>
  <si>
    <t>조정 대상 아님. 타협 불가 조건.</t>
  </si>
  <si>
    <t>BN_08</t>
  </si>
  <si>
    <t>리타 · 루주 = 지원형 / 목단 · 도로시 = 딜포터</t>
  </si>
  <si>
    <t>자체 화력을 낮게 유지해 기존 딜러의 자리를 침범하지 않는다. 버프 기여로만 값을 한다.</t>
  </si>
  <si>
    <t>자체 딜을 올리면 한정 딜러와 경쟁 구도가 생긴다.</t>
  </si>
  <si>
    <t>올드테일즈</t>
    <phoneticPr fontId="8" type="noConversion"/>
  </si>
  <si>
    <t>이지스</t>
    <phoneticPr fontId="8" type="noConversion"/>
  </si>
  <si>
    <t>테트라</t>
    <phoneticPr fontId="8" type="noConversion"/>
  </si>
  <si>
    <t>전격</t>
    <phoneticPr fontId="8" type="noConversion"/>
  </si>
  <si>
    <t>수냉</t>
    <phoneticPr fontId="8" type="noConversion"/>
  </si>
  <si>
    <t>Null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</si>
</sst>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color rgb="FF1F4E5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9"/>
      <name val="맑은 고딕"/>
      <family val="3"/>
      <charset val="129"/>
    </font>
    <font>
      <sz val="8"/>
      <color rgb="FF80808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5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7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D17" sqref="D17"/>
    </sheetView>
  </sheetViews>
  <sheetFormatPr defaultRowHeight="16.5" x14ac:dyDescent="0.3"/>
  <cols>
    <col min="1" max="1" width="20" customWidth="1"/>
    <col min="2" max="2" width="26" customWidth="1"/>
    <col min="3" max="3" width="8" customWidth="1"/>
    <col min="4" max="5" width="14" customWidth="1"/>
    <col min="6" max="6" width="13.25" customWidth="1"/>
    <col min="7" max="8" width="10" customWidth="1"/>
    <col min="9" max="9" width="12" customWidth="1"/>
    <col min="10" max="10" width="20" customWidth="1"/>
    <col min="11" max="11" width="22" customWidth="1"/>
    <col min="12" max="12" width="12" customWidth="1"/>
    <col min="13" max="13" width="11" customWidth="1"/>
    <col min="14" max="14" width="13" customWidth="1"/>
  </cols>
  <sheetData>
    <row r="1" spans="1:14" ht="33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</row>
    <row r="2" spans="1:14" ht="18" customHeight="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18" customHeight="1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</row>
    <row r="4" spans="1:14" ht="15.95" customHeight="1" x14ac:dyDescent="0.3">
      <c r="A4" s="4" t="s">
        <v>45</v>
      </c>
      <c r="B4" s="4" t="s">
        <v>45</v>
      </c>
      <c r="C4" s="4" t="s">
        <v>46</v>
      </c>
      <c r="D4" s="4" t="s">
        <v>46</v>
      </c>
      <c r="E4" s="4" t="s">
        <v>45</v>
      </c>
      <c r="F4" s="4" t="s">
        <v>46</v>
      </c>
      <c r="G4" s="4" t="s">
        <v>46</v>
      </c>
      <c r="H4" s="4" t="s">
        <v>46</v>
      </c>
      <c r="I4" s="4" t="s">
        <v>47</v>
      </c>
      <c r="J4" s="4" t="s">
        <v>45</v>
      </c>
      <c r="K4" s="4" t="s">
        <v>45</v>
      </c>
      <c r="L4" s="4" t="s">
        <v>48</v>
      </c>
      <c r="M4" s="4" t="s">
        <v>48</v>
      </c>
      <c r="N4" s="4" t="s">
        <v>48</v>
      </c>
    </row>
    <row r="5" spans="1:14" x14ac:dyDescent="0.3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>
        <v>20</v>
      </c>
      <c r="J5" s="5" t="s">
        <v>57</v>
      </c>
      <c r="K5" s="5" t="s">
        <v>443</v>
      </c>
      <c r="L5" s="5" t="s">
        <v>58</v>
      </c>
      <c r="M5" s="5" t="s">
        <v>59</v>
      </c>
      <c r="N5" s="5" t="s">
        <v>60</v>
      </c>
    </row>
    <row r="6" spans="1:14" x14ac:dyDescent="0.3">
      <c r="A6" s="6" t="s">
        <v>61</v>
      </c>
      <c r="B6" s="7" t="s">
        <v>62</v>
      </c>
      <c r="C6" s="7" t="s">
        <v>51</v>
      </c>
      <c r="D6" s="7" t="s">
        <v>52</v>
      </c>
      <c r="E6" s="7" t="s">
        <v>63</v>
      </c>
      <c r="F6" s="7" t="s">
        <v>64</v>
      </c>
      <c r="G6" s="7" t="s">
        <v>55</v>
      </c>
      <c r="H6" s="7" t="s">
        <v>56</v>
      </c>
      <c r="I6" s="7">
        <v>20</v>
      </c>
      <c r="J6" s="7" t="s">
        <v>57</v>
      </c>
      <c r="K6" s="16" t="s">
        <v>443</v>
      </c>
      <c r="L6" s="15" t="s">
        <v>58</v>
      </c>
      <c r="M6" s="15" t="s">
        <v>58</v>
      </c>
      <c r="N6" s="15" t="s">
        <v>58</v>
      </c>
    </row>
    <row r="7" spans="1:14" x14ac:dyDescent="0.3">
      <c r="A7" s="6" t="s">
        <v>66</v>
      </c>
      <c r="B7" s="7" t="s">
        <v>67</v>
      </c>
      <c r="C7" s="7" t="s">
        <v>51</v>
      </c>
      <c r="D7" s="7" t="s">
        <v>440</v>
      </c>
      <c r="E7" s="7">
        <v>777</v>
      </c>
      <c r="F7" s="7" t="s">
        <v>441</v>
      </c>
      <c r="G7" s="7" t="s">
        <v>55</v>
      </c>
      <c r="H7" s="7" t="s">
        <v>56</v>
      </c>
      <c r="I7" s="7">
        <v>20</v>
      </c>
      <c r="J7" s="7" t="s">
        <v>68</v>
      </c>
      <c r="K7" s="16" t="s">
        <v>443</v>
      </c>
      <c r="L7" s="15" t="s">
        <v>58</v>
      </c>
      <c r="M7" s="15" t="s">
        <v>58</v>
      </c>
      <c r="N7" s="15" t="s">
        <v>58</v>
      </c>
    </row>
    <row r="8" spans="1:14" x14ac:dyDescent="0.3">
      <c r="A8" s="6" t="s">
        <v>69</v>
      </c>
      <c r="B8" s="7" t="s">
        <v>70</v>
      </c>
      <c r="C8" s="7" t="s">
        <v>51</v>
      </c>
      <c r="D8" s="7" t="s">
        <v>52</v>
      </c>
      <c r="E8" s="7" t="s">
        <v>71</v>
      </c>
      <c r="F8" s="7" t="s">
        <v>54</v>
      </c>
      <c r="G8" s="7" t="s">
        <v>55</v>
      </c>
      <c r="H8" s="7" t="s">
        <v>72</v>
      </c>
      <c r="I8" s="7">
        <v>20</v>
      </c>
      <c r="J8" s="7" t="s">
        <v>73</v>
      </c>
      <c r="K8" s="17" t="s">
        <v>74</v>
      </c>
      <c r="L8" s="15" t="s">
        <v>58</v>
      </c>
      <c r="M8" s="15" t="s">
        <v>58</v>
      </c>
      <c r="N8" s="15" t="s">
        <v>58</v>
      </c>
    </row>
    <row r="9" spans="1:14" x14ac:dyDescent="0.3">
      <c r="A9" s="6" t="s">
        <v>75</v>
      </c>
      <c r="B9" s="7" t="s">
        <v>76</v>
      </c>
      <c r="C9" s="7" t="s">
        <v>51</v>
      </c>
      <c r="D9" s="7" t="s">
        <v>52</v>
      </c>
      <c r="E9" s="7" t="s">
        <v>77</v>
      </c>
      <c r="F9" s="7" t="s">
        <v>441</v>
      </c>
      <c r="G9" s="7" t="s">
        <v>55</v>
      </c>
      <c r="H9" s="7" t="s">
        <v>72</v>
      </c>
      <c r="I9" s="7">
        <v>20</v>
      </c>
      <c r="J9" s="7" t="s">
        <v>78</v>
      </c>
      <c r="K9" s="16" t="s">
        <v>443</v>
      </c>
      <c r="L9" s="15" t="s">
        <v>58</v>
      </c>
      <c r="M9" s="15" t="s">
        <v>58</v>
      </c>
      <c r="N9" s="15" t="s">
        <v>58</v>
      </c>
    </row>
    <row r="10" spans="1:14" x14ac:dyDescent="0.3">
      <c r="A10" s="6" t="s">
        <v>79</v>
      </c>
      <c r="B10" s="7" t="s">
        <v>80</v>
      </c>
      <c r="C10" s="7" t="s">
        <v>51</v>
      </c>
      <c r="D10" s="7" t="s">
        <v>52</v>
      </c>
      <c r="E10" s="7" t="s">
        <v>71</v>
      </c>
      <c r="F10" s="7" t="s">
        <v>54</v>
      </c>
      <c r="G10" s="7" t="s">
        <v>81</v>
      </c>
      <c r="H10" s="7" t="s">
        <v>82</v>
      </c>
      <c r="I10" s="7">
        <v>40</v>
      </c>
      <c r="J10" s="7" t="s">
        <v>83</v>
      </c>
      <c r="K10" s="7" t="s">
        <v>84</v>
      </c>
      <c r="L10" s="15" t="s">
        <v>58</v>
      </c>
      <c r="M10" s="15" t="s">
        <v>58</v>
      </c>
      <c r="N10" s="15" t="s">
        <v>58</v>
      </c>
    </row>
    <row r="11" spans="1:14" x14ac:dyDescent="0.3">
      <c r="A11" s="6" t="s">
        <v>85</v>
      </c>
      <c r="B11" s="7" t="s">
        <v>86</v>
      </c>
      <c r="C11" s="7" t="s">
        <v>51</v>
      </c>
      <c r="D11" s="7" t="s">
        <v>87</v>
      </c>
      <c r="E11" s="7" t="s">
        <v>438</v>
      </c>
      <c r="F11" s="7" t="s">
        <v>88</v>
      </c>
      <c r="G11" s="7" t="s">
        <v>89</v>
      </c>
      <c r="H11" s="7" t="s">
        <v>82</v>
      </c>
      <c r="I11" s="7">
        <v>40</v>
      </c>
      <c r="J11" s="8" t="s">
        <v>90</v>
      </c>
      <c r="K11" s="16" t="s">
        <v>443</v>
      </c>
      <c r="L11" s="15" t="s">
        <v>58</v>
      </c>
      <c r="M11" s="15" t="s">
        <v>58</v>
      </c>
      <c r="N11" s="15" t="s">
        <v>58</v>
      </c>
    </row>
    <row r="12" spans="1:14" x14ac:dyDescent="0.3">
      <c r="A12" s="9" t="s">
        <v>91</v>
      </c>
      <c r="B12" s="7" t="s">
        <v>92</v>
      </c>
      <c r="C12" s="7" t="s">
        <v>51</v>
      </c>
      <c r="D12" s="7" t="s">
        <v>87</v>
      </c>
      <c r="E12" s="7" t="s">
        <v>438</v>
      </c>
      <c r="F12" s="7" t="s">
        <v>64</v>
      </c>
      <c r="G12" s="7" t="s">
        <v>81</v>
      </c>
      <c r="H12" s="7" t="s">
        <v>82</v>
      </c>
      <c r="I12" s="7">
        <v>40</v>
      </c>
      <c r="J12" s="7" t="s">
        <v>93</v>
      </c>
      <c r="K12" s="7" t="s">
        <v>94</v>
      </c>
      <c r="L12" s="15" t="s">
        <v>58</v>
      </c>
      <c r="M12" s="15" t="s">
        <v>58</v>
      </c>
      <c r="N12" s="15" t="s">
        <v>58</v>
      </c>
    </row>
    <row r="13" spans="1:14" x14ac:dyDescent="0.3">
      <c r="A13" s="9" t="s">
        <v>95</v>
      </c>
      <c r="B13" s="7" t="s">
        <v>96</v>
      </c>
      <c r="C13" s="7" t="s">
        <v>51</v>
      </c>
      <c r="D13" s="7" t="s">
        <v>97</v>
      </c>
      <c r="E13" s="7" t="s">
        <v>439</v>
      </c>
      <c r="F13" s="7" t="s">
        <v>442</v>
      </c>
      <c r="G13" s="7" t="s">
        <v>55</v>
      </c>
      <c r="H13" s="7" t="s">
        <v>82</v>
      </c>
      <c r="I13" s="7">
        <v>40</v>
      </c>
      <c r="J13" s="7" t="s">
        <v>98</v>
      </c>
      <c r="K13" s="16" t="s">
        <v>443</v>
      </c>
      <c r="L13" s="15" t="s">
        <v>58</v>
      </c>
      <c r="M13" s="15" t="s">
        <v>58</v>
      </c>
      <c r="N13" s="15" t="s">
        <v>58</v>
      </c>
    </row>
    <row r="14" spans="1:14" x14ac:dyDescent="0.3">
      <c r="K14" s="18"/>
    </row>
    <row r="15" spans="1:14" x14ac:dyDescent="0.3">
      <c r="A15" s="10"/>
    </row>
  </sheetData>
  <autoFilter ref="A2:N13" xr:uid="{00000000-0009-0000-0000-000000000000}"/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7" sqref="F7"/>
    </sheetView>
  </sheetViews>
  <sheetFormatPr defaultRowHeight="16.5" x14ac:dyDescent="0.3"/>
  <cols>
    <col min="1" max="1" width="22" customWidth="1"/>
    <col min="2" max="2" width="24" customWidth="1"/>
    <col min="3" max="4" width="10" customWidth="1"/>
    <col min="5" max="8" width="12" customWidth="1"/>
    <col min="9" max="9" width="10" customWidth="1"/>
    <col min="10" max="10" width="13" customWidth="1"/>
    <col min="11" max="12" width="11" customWidth="1"/>
    <col min="13" max="13" width="12" customWidth="1"/>
    <col min="14" max="14" width="32" customWidth="1"/>
  </cols>
  <sheetData>
    <row r="1" spans="1:14" ht="33.950000000000003" customHeight="1" x14ac:dyDescent="0.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/>
    </row>
    <row r="2" spans="1:14" ht="18" customHeight="1" x14ac:dyDescent="0.3">
      <c r="A2" s="2" t="s">
        <v>22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2" t="s">
        <v>122</v>
      </c>
      <c r="M2" s="2" t="s">
        <v>27</v>
      </c>
      <c r="N2" s="2" t="s">
        <v>28</v>
      </c>
    </row>
    <row r="3" spans="1:14" ht="18" customHeight="1" x14ac:dyDescent="0.3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  <c r="M3" s="3" t="s">
        <v>43</v>
      </c>
      <c r="N3" s="3" t="s">
        <v>44</v>
      </c>
    </row>
    <row r="4" spans="1:14" ht="15.95" customHeight="1" x14ac:dyDescent="0.3">
      <c r="A4" s="4" t="s">
        <v>45</v>
      </c>
      <c r="B4" s="4" t="s">
        <v>45</v>
      </c>
      <c r="C4" s="4" t="s">
        <v>46</v>
      </c>
      <c r="D4" s="4" t="s">
        <v>46</v>
      </c>
      <c r="E4" s="4" t="s">
        <v>48</v>
      </c>
      <c r="F4" s="4" t="s">
        <v>47</v>
      </c>
      <c r="G4" s="4" t="s">
        <v>47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135</v>
      </c>
      <c r="M4" s="4" t="s">
        <v>46</v>
      </c>
      <c r="N4" s="4" t="s">
        <v>45</v>
      </c>
    </row>
    <row r="5" spans="1:14" x14ac:dyDescent="0.3">
      <c r="A5" s="5" t="s">
        <v>57</v>
      </c>
      <c r="B5" s="5" t="s">
        <v>136</v>
      </c>
      <c r="C5" s="5" t="s">
        <v>137</v>
      </c>
      <c r="D5" s="5" t="s">
        <v>138</v>
      </c>
      <c r="E5" s="5">
        <v>120</v>
      </c>
      <c r="F5" s="5">
        <v>1.5</v>
      </c>
      <c r="G5" s="5">
        <v>8.73</v>
      </c>
      <c r="H5" s="5">
        <v>20</v>
      </c>
      <c r="I5" s="5"/>
      <c r="J5" s="5"/>
      <c r="K5" s="5">
        <v>200</v>
      </c>
      <c r="L5" s="5" t="s">
        <v>139</v>
      </c>
      <c r="M5" s="5" t="s">
        <v>65</v>
      </c>
      <c r="N5" s="11" t="s">
        <v>140</v>
      </c>
    </row>
    <row r="6" spans="1:14" x14ac:dyDescent="0.3">
      <c r="A6" s="6" t="s">
        <v>73</v>
      </c>
      <c r="B6" s="7" t="s">
        <v>141</v>
      </c>
      <c r="C6" s="7" t="s">
        <v>142</v>
      </c>
      <c r="D6" s="7" t="s">
        <v>143</v>
      </c>
      <c r="E6" s="7">
        <v>6</v>
      </c>
      <c r="F6" s="7">
        <v>2</v>
      </c>
      <c r="G6" s="7">
        <v>69.040000000000006</v>
      </c>
      <c r="H6" s="7">
        <v>1</v>
      </c>
      <c r="I6" s="7">
        <v>1</v>
      </c>
      <c r="J6" s="7">
        <v>250</v>
      </c>
      <c r="K6" s="7">
        <v>200</v>
      </c>
      <c r="L6" s="7" t="s">
        <v>139</v>
      </c>
      <c r="M6" s="7" t="s">
        <v>65</v>
      </c>
      <c r="N6" s="7"/>
    </row>
    <row r="7" spans="1:14" x14ac:dyDescent="0.3">
      <c r="A7" s="9" t="s">
        <v>74</v>
      </c>
      <c r="B7" s="7" t="s">
        <v>144</v>
      </c>
      <c r="C7" s="7" t="s">
        <v>142</v>
      </c>
      <c r="D7" s="7" t="s">
        <v>143</v>
      </c>
      <c r="E7" s="7">
        <v>1</v>
      </c>
      <c r="F7" s="7"/>
      <c r="G7" s="7">
        <v>350</v>
      </c>
      <c r="H7" s="7">
        <v>1</v>
      </c>
      <c r="I7" s="7">
        <v>0.4</v>
      </c>
      <c r="J7" s="7">
        <v>300</v>
      </c>
      <c r="K7" s="7">
        <v>200</v>
      </c>
      <c r="L7" s="7" t="s">
        <v>139</v>
      </c>
      <c r="M7" s="7" t="s">
        <v>65</v>
      </c>
      <c r="N7" s="8" t="s">
        <v>145</v>
      </c>
    </row>
    <row r="8" spans="1:14" x14ac:dyDescent="0.3">
      <c r="A8" s="6" t="s">
        <v>68</v>
      </c>
      <c r="B8" s="7" t="s">
        <v>146</v>
      </c>
      <c r="C8" s="7" t="s">
        <v>142</v>
      </c>
      <c r="D8" s="7" t="s">
        <v>143</v>
      </c>
      <c r="E8" s="7">
        <v>6</v>
      </c>
      <c r="F8" s="7">
        <v>2.33</v>
      </c>
      <c r="G8" s="7">
        <v>71.069999999999993</v>
      </c>
      <c r="H8" s="7">
        <v>1</v>
      </c>
      <c r="I8" s="7">
        <v>1</v>
      </c>
      <c r="J8" s="7">
        <v>250</v>
      </c>
      <c r="K8" s="7">
        <v>200</v>
      </c>
      <c r="L8" s="7" t="s">
        <v>139</v>
      </c>
      <c r="M8" s="7" t="s">
        <v>65</v>
      </c>
      <c r="N8" s="7"/>
    </row>
    <row r="9" spans="1:14" x14ac:dyDescent="0.3">
      <c r="A9" s="6" t="s">
        <v>98</v>
      </c>
      <c r="B9" s="7" t="s">
        <v>146</v>
      </c>
      <c r="C9" s="7" t="s">
        <v>142</v>
      </c>
      <c r="D9" s="7" t="s">
        <v>143</v>
      </c>
      <c r="E9" s="7">
        <v>6</v>
      </c>
      <c r="F9" s="7">
        <v>2</v>
      </c>
      <c r="G9" s="7">
        <v>69.040000000000006</v>
      </c>
      <c r="H9" s="7">
        <v>1</v>
      </c>
      <c r="I9" s="7">
        <v>1</v>
      </c>
      <c r="J9" s="7">
        <v>250</v>
      </c>
      <c r="K9" s="7">
        <v>200</v>
      </c>
      <c r="L9" s="7" t="s">
        <v>139</v>
      </c>
      <c r="M9" s="7" t="s">
        <v>65</v>
      </c>
      <c r="N9" s="7"/>
    </row>
    <row r="10" spans="1:14" x14ac:dyDescent="0.3">
      <c r="A10" s="6" t="s">
        <v>78</v>
      </c>
      <c r="B10" s="7" t="s">
        <v>147</v>
      </c>
      <c r="C10" s="7" t="s">
        <v>148</v>
      </c>
      <c r="D10" s="7" t="s">
        <v>143</v>
      </c>
      <c r="E10" s="7">
        <v>6</v>
      </c>
      <c r="F10" s="7">
        <v>2.52</v>
      </c>
      <c r="G10" s="7">
        <v>68.59</v>
      </c>
      <c r="H10" s="7">
        <v>1</v>
      </c>
      <c r="I10" s="7">
        <v>1</v>
      </c>
      <c r="J10" s="7">
        <v>250</v>
      </c>
      <c r="K10" s="7">
        <v>200</v>
      </c>
      <c r="L10" s="7" t="s">
        <v>139</v>
      </c>
      <c r="M10" s="7" t="s">
        <v>65</v>
      </c>
      <c r="N10" s="7"/>
    </row>
    <row r="11" spans="1:14" x14ac:dyDescent="0.3">
      <c r="A11" s="9" t="s">
        <v>90</v>
      </c>
      <c r="B11" s="7" t="s">
        <v>149</v>
      </c>
      <c r="C11" s="7" t="s">
        <v>148</v>
      </c>
      <c r="D11" s="7" t="s">
        <v>143</v>
      </c>
      <c r="E11" s="7">
        <v>24</v>
      </c>
      <c r="F11" s="7">
        <v>2</v>
      </c>
      <c r="G11" s="7">
        <v>32.11</v>
      </c>
      <c r="H11" s="7">
        <v>1</v>
      </c>
      <c r="I11" s="7">
        <v>1</v>
      </c>
      <c r="J11" s="7">
        <v>200</v>
      </c>
      <c r="K11" s="7">
        <v>200</v>
      </c>
      <c r="L11" s="7" t="s">
        <v>139</v>
      </c>
      <c r="M11" s="7" t="s">
        <v>65</v>
      </c>
      <c r="N11" s="8" t="s">
        <v>150</v>
      </c>
    </row>
    <row r="12" spans="1:14" x14ac:dyDescent="0.3">
      <c r="A12" s="6" t="s">
        <v>83</v>
      </c>
      <c r="B12" s="7" t="s">
        <v>151</v>
      </c>
      <c r="C12" s="7" t="s">
        <v>148</v>
      </c>
      <c r="D12" s="7" t="s">
        <v>143</v>
      </c>
      <c r="E12" s="7">
        <v>120</v>
      </c>
      <c r="F12" s="7">
        <v>2.5</v>
      </c>
      <c r="G12" s="7">
        <v>2.5</v>
      </c>
      <c r="H12" s="7">
        <v>1</v>
      </c>
      <c r="I12" s="7">
        <v>1</v>
      </c>
      <c r="J12" s="7">
        <v>250</v>
      </c>
      <c r="K12" s="7">
        <v>200</v>
      </c>
      <c r="L12" s="7" t="s">
        <v>139</v>
      </c>
      <c r="M12" s="7" t="s">
        <v>65</v>
      </c>
      <c r="N12" s="8" t="s">
        <v>152</v>
      </c>
    </row>
    <row r="13" spans="1:14" x14ac:dyDescent="0.3">
      <c r="A13" s="6" t="s">
        <v>84</v>
      </c>
      <c r="B13" s="7" t="s">
        <v>153</v>
      </c>
      <c r="C13" s="7" t="s">
        <v>154</v>
      </c>
      <c r="D13" s="7" t="s">
        <v>138</v>
      </c>
      <c r="E13" s="7">
        <v>120</v>
      </c>
      <c r="F13" s="7"/>
      <c r="G13" s="7">
        <v>9.4499999999999993</v>
      </c>
      <c r="H13" s="7">
        <v>22.5</v>
      </c>
      <c r="I13" s="7"/>
      <c r="J13" s="7"/>
      <c r="K13" s="7">
        <v>200</v>
      </c>
      <c r="L13" s="7" t="s">
        <v>155</v>
      </c>
      <c r="M13" s="7" t="s">
        <v>65</v>
      </c>
      <c r="N13" s="7" t="s">
        <v>156</v>
      </c>
    </row>
    <row r="14" spans="1:14" x14ac:dyDescent="0.3">
      <c r="A14" s="6" t="s">
        <v>93</v>
      </c>
      <c r="B14" s="7" t="s">
        <v>157</v>
      </c>
      <c r="C14" s="7" t="s">
        <v>154</v>
      </c>
      <c r="D14" s="7" t="s">
        <v>138</v>
      </c>
      <c r="E14" s="7">
        <v>300</v>
      </c>
      <c r="F14" s="7">
        <v>2.5</v>
      </c>
      <c r="G14" s="7">
        <v>5.57</v>
      </c>
      <c r="H14" s="7">
        <v>45</v>
      </c>
      <c r="I14" s="7"/>
      <c r="J14" s="7"/>
      <c r="K14" s="7">
        <v>200</v>
      </c>
      <c r="L14" s="7" t="s">
        <v>139</v>
      </c>
      <c r="M14" s="7" t="s">
        <v>65</v>
      </c>
      <c r="N14" s="7"/>
    </row>
    <row r="15" spans="1:14" x14ac:dyDescent="0.3">
      <c r="A15" s="6" t="s">
        <v>94</v>
      </c>
      <c r="B15" s="7" t="s">
        <v>158</v>
      </c>
      <c r="C15" s="7" t="s">
        <v>142</v>
      </c>
      <c r="D15" s="7" t="s">
        <v>143</v>
      </c>
      <c r="E15" s="7">
        <v>15</v>
      </c>
      <c r="F15" s="7"/>
      <c r="G15" s="7">
        <v>62.13</v>
      </c>
      <c r="H15" s="7">
        <v>1</v>
      </c>
      <c r="I15" s="7">
        <v>1</v>
      </c>
      <c r="J15" s="7">
        <v>250</v>
      </c>
      <c r="K15" s="7">
        <v>200</v>
      </c>
      <c r="L15" s="7" t="s">
        <v>155</v>
      </c>
      <c r="M15" s="7" t="s">
        <v>65</v>
      </c>
      <c r="N15" s="8" t="s">
        <v>159</v>
      </c>
    </row>
    <row r="17" spans="1:1" x14ac:dyDescent="0.3">
      <c r="A17" s="10" t="s">
        <v>160</v>
      </c>
    </row>
  </sheetData>
  <autoFilter ref="A2:N15" xr:uid="{00000000-0009-0000-0000-000001000000}"/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20" customWidth="1"/>
    <col min="3" max="3" width="11" customWidth="1"/>
    <col min="4" max="4" width="22" customWidth="1"/>
    <col min="5" max="5" width="10" customWidth="1"/>
    <col min="6" max="6" width="11" customWidth="1"/>
    <col min="7" max="7" width="18" customWidth="1"/>
    <col min="8" max="8" width="10" customWidth="1"/>
    <col min="9" max="9" width="14" customWidth="1"/>
    <col min="10" max="10" width="38" customWidth="1"/>
  </cols>
  <sheetData>
    <row r="1" spans="1:10" ht="33.950000000000003" customHeight="1" x14ac:dyDescent="0.3">
      <c r="A1" s="1" t="s">
        <v>161</v>
      </c>
      <c r="B1" s="1" t="s">
        <v>162</v>
      </c>
      <c r="C1" s="1" t="s">
        <v>163</v>
      </c>
      <c r="D1" s="1" t="s">
        <v>100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/>
    </row>
    <row r="2" spans="1:10" ht="18" customHeight="1" x14ac:dyDescent="0.3">
      <c r="A2" s="2" t="s">
        <v>169</v>
      </c>
      <c r="B2" s="2" t="s">
        <v>13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</row>
    <row r="3" spans="1:10" ht="18" customHeight="1" x14ac:dyDescent="0.3">
      <c r="A3" s="3" t="s">
        <v>178</v>
      </c>
      <c r="B3" s="3" t="s">
        <v>29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183</v>
      </c>
      <c r="H3" s="3" t="s">
        <v>184</v>
      </c>
      <c r="I3" s="3" t="s">
        <v>185</v>
      </c>
      <c r="J3" s="3" t="s">
        <v>186</v>
      </c>
    </row>
    <row r="4" spans="1:10" ht="15.95" customHeight="1" x14ac:dyDescent="0.3">
      <c r="A4" s="4" t="s">
        <v>45</v>
      </c>
      <c r="B4" s="4" t="s">
        <v>45</v>
      </c>
      <c r="C4" s="4" t="s">
        <v>46</v>
      </c>
      <c r="D4" s="4" t="s">
        <v>45</v>
      </c>
      <c r="E4" s="4" t="s">
        <v>46</v>
      </c>
      <c r="F4" s="4" t="s">
        <v>47</v>
      </c>
      <c r="G4" s="4" t="s">
        <v>46</v>
      </c>
      <c r="H4" s="4" t="s">
        <v>48</v>
      </c>
      <c r="I4" s="4" t="s">
        <v>46</v>
      </c>
      <c r="J4" s="4" t="s">
        <v>45</v>
      </c>
    </row>
    <row r="5" spans="1:10" x14ac:dyDescent="0.3">
      <c r="A5" s="5" t="s">
        <v>187</v>
      </c>
      <c r="B5" s="5" t="s">
        <v>49</v>
      </c>
      <c r="C5" s="5" t="s">
        <v>188</v>
      </c>
      <c r="D5" s="5" t="s">
        <v>189</v>
      </c>
      <c r="E5" s="5" t="s">
        <v>190</v>
      </c>
      <c r="F5" s="5"/>
      <c r="G5" s="5" t="s">
        <v>191</v>
      </c>
      <c r="H5" s="5"/>
      <c r="I5" s="5" t="s">
        <v>192</v>
      </c>
      <c r="J5" s="11" t="s">
        <v>193</v>
      </c>
    </row>
    <row r="6" spans="1:10" x14ac:dyDescent="0.3">
      <c r="A6" s="5" t="s">
        <v>194</v>
      </c>
      <c r="B6" s="5" t="s">
        <v>49</v>
      </c>
      <c r="C6" s="5" t="s">
        <v>195</v>
      </c>
      <c r="D6" s="5" t="s">
        <v>196</v>
      </c>
      <c r="E6" s="5" t="s">
        <v>190</v>
      </c>
      <c r="F6" s="5"/>
      <c r="G6" s="5" t="s">
        <v>197</v>
      </c>
      <c r="H6" s="5"/>
      <c r="I6" s="5" t="s">
        <v>192</v>
      </c>
      <c r="J6" s="11" t="s">
        <v>198</v>
      </c>
    </row>
    <row r="7" spans="1:10" x14ac:dyDescent="0.3">
      <c r="A7" s="5" t="s">
        <v>199</v>
      </c>
      <c r="B7" s="5" t="s">
        <v>49</v>
      </c>
      <c r="C7" s="5" t="s">
        <v>195</v>
      </c>
      <c r="D7" s="5" t="s">
        <v>200</v>
      </c>
      <c r="E7" s="5" t="s">
        <v>190</v>
      </c>
      <c r="F7" s="5"/>
      <c r="G7" s="5" t="s">
        <v>201</v>
      </c>
      <c r="H7" s="5">
        <v>600</v>
      </c>
      <c r="I7" s="5" t="s">
        <v>192</v>
      </c>
      <c r="J7" s="11" t="s">
        <v>202</v>
      </c>
    </row>
    <row r="8" spans="1:10" x14ac:dyDescent="0.3">
      <c r="A8" s="5" t="s">
        <v>203</v>
      </c>
      <c r="B8" s="5" t="s">
        <v>49</v>
      </c>
      <c r="C8" s="5" t="s">
        <v>204</v>
      </c>
      <c r="D8" s="5" t="s">
        <v>205</v>
      </c>
      <c r="E8" s="5" t="s">
        <v>206</v>
      </c>
      <c r="F8" s="5">
        <v>20</v>
      </c>
      <c r="G8" s="5" t="s">
        <v>207</v>
      </c>
      <c r="H8" s="5"/>
      <c r="I8" s="5" t="s">
        <v>208</v>
      </c>
      <c r="J8" s="5" t="s">
        <v>209</v>
      </c>
    </row>
    <row r="9" spans="1:10" x14ac:dyDescent="0.3">
      <c r="A9" s="6" t="s">
        <v>210</v>
      </c>
      <c r="B9" s="7" t="s">
        <v>61</v>
      </c>
      <c r="C9" s="7" t="s">
        <v>188</v>
      </c>
      <c r="D9" s="7" t="s">
        <v>211</v>
      </c>
      <c r="E9" s="7" t="s">
        <v>190</v>
      </c>
      <c r="F9" s="7"/>
      <c r="G9" s="7" t="s">
        <v>191</v>
      </c>
      <c r="H9" s="7"/>
      <c r="I9" s="7" t="s">
        <v>192</v>
      </c>
      <c r="J9" s="8" t="s">
        <v>212</v>
      </c>
    </row>
    <row r="10" spans="1:10" x14ac:dyDescent="0.3">
      <c r="A10" s="6" t="s">
        <v>213</v>
      </c>
      <c r="B10" s="7" t="s">
        <v>61</v>
      </c>
      <c r="C10" s="7" t="s">
        <v>195</v>
      </c>
      <c r="D10" s="7" t="s">
        <v>214</v>
      </c>
      <c r="E10" s="7" t="s">
        <v>190</v>
      </c>
      <c r="F10" s="7"/>
      <c r="G10" s="7"/>
      <c r="H10" s="7"/>
      <c r="I10" s="7" t="s">
        <v>215</v>
      </c>
      <c r="J10" s="8" t="s">
        <v>216</v>
      </c>
    </row>
    <row r="11" spans="1:10" x14ac:dyDescent="0.3">
      <c r="A11" s="6" t="s">
        <v>217</v>
      </c>
      <c r="B11" s="7" t="s">
        <v>61</v>
      </c>
      <c r="C11" s="7" t="s">
        <v>204</v>
      </c>
      <c r="D11" s="7" t="s">
        <v>218</v>
      </c>
      <c r="E11" s="7" t="s">
        <v>206</v>
      </c>
      <c r="F11" s="7">
        <v>20</v>
      </c>
      <c r="G11" s="7" t="s">
        <v>207</v>
      </c>
      <c r="H11" s="7"/>
      <c r="I11" s="7" t="s">
        <v>192</v>
      </c>
      <c r="J11" s="7" t="s">
        <v>219</v>
      </c>
    </row>
    <row r="12" spans="1:10" x14ac:dyDescent="0.3">
      <c r="A12" s="6" t="s">
        <v>220</v>
      </c>
      <c r="B12" s="7" t="s">
        <v>69</v>
      </c>
      <c r="C12" s="7" t="s">
        <v>188</v>
      </c>
      <c r="D12" s="7" t="s">
        <v>221</v>
      </c>
      <c r="E12" s="7" t="s">
        <v>190</v>
      </c>
      <c r="F12" s="7"/>
      <c r="G12" s="7" t="s">
        <v>222</v>
      </c>
      <c r="H12" s="7"/>
      <c r="I12" s="7" t="s">
        <v>192</v>
      </c>
      <c r="J12" s="8" t="s">
        <v>223</v>
      </c>
    </row>
    <row r="13" spans="1:10" x14ac:dyDescent="0.3">
      <c r="A13" s="6" t="s">
        <v>224</v>
      </c>
      <c r="B13" s="7" t="s">
        <v>69</v>
      </c>
      <c r="C13" s="7" t="s">
        <v>195</v>
      </c>
      <c r="D13" s="7" t="s">
        <v>225</v>
      </c>
      <c r="E13" s="7" t="s">
        <v>190</v>
      </c>
      <c r="F13" s="7"/>
      <c r="G13" s="7" t="s">
        <v>207</v>
      </c>
      <c r="H13" s="7"/>
      <c r="I13" s="7" t="s">
        <v>192</v>
      </c>
      <c r="J13" s="8" t="s">
        <v>226</v>
      </c>
    </row>
    <row r="14" spans="1:10" x14ac:dyDescent="0.3">
      <c r="A14" s="6" t="s">
        <v>227</v>
      </c>
      <c r="B14" s="7" t="s">
        <v>69</v>
      </c>
      <c r="C14" s="7" t="s">
        <v>204</v>
      </c>
      <c r="D14" s="7" t="s">
        <v>144</v>
      </c>
      <c r="E14" s="7" t="s">
        <v>206</v>
      </c>
      <c r="F14" s="7">
        <v>20</v>
      </c>
      <c r="G14" s="7" t="s">
        <v>207</v>
      </c>
      <c r="H14" s="7"/>
      <c r="I14" s="7" t="s">
        <v>192</v>
      </c>
      <c r="J14" s="8" t="s">
        <v>228</v>
      </c>
    </row>
    <row r="15" spans="1:10" x14ac:dyDescent="0.3">
      <c r="A15" s="6" t="s">
        <v>229</v>
      </c>
      <c r="B15" s="7" t="s">
        <v>79</v>
      </c>
      <c r="C15" s="7" t="s">
        <v>188</v>
      </c>
      <c r="D15" s="7" t="s">
        <v>153</v>
      </c>
      <c r="E15" s="7" t="s">
        <v>190</v>
      </c>
      <c r="F15" s="7"/>
      <c r="G15" s="7" t="s">
        <v>222</v>
      </c>
      <c r="H15" s="7">
        <v>5</v>
      </c>
      <c r="I15" s="7" t="s">
        <v>230</v>
      </c>
      <c r="J15" s="8" t="s">
        <v>231</v>
      </c>
    </row>
    <row r="16" spans="1:10" x14ac:dyDescent="0.3">
      <c r="A16" s="6" t="s">
        <v>232</v>
      </c>
      <c r="B16" s="7" t="s">
        <v>79</v>
      </c>
      <c r="C16" s="7" t="s">
        <v>195</v>
      </c>
      <c r="D16" s="7" t="s">
        <v>233</v>
      </c>
      <c r="E16" s="7" t="s">
        <v>190</v>
      </c>
      <c r="F16" s="7"/>
      <c r="G16" s="7" t="s">
        <v>234</v>
      </c>
      <c r="H16" s="7">
        <v>12</v>
      </c>
      <c r="I16" s="7" t="s">
        <v>230</v>
      </c>
      <c r="J16" s="8" t="s">
        <v>235</v>
      </c>
    </row>
    <row r="17" spans="1:10" x14ac:dyDescent="0.3">
      <c r="A17" s="6" t="s">
        <v>236</v>
      </c>
      <c r="B17" s="7" t="s">
        <v>79</v>
      </c>
      <c r="C17" s="7" t="s">
        <v>204</v>
      </c>
      <c r="D17" s="7" t="s">
        <v>237</v>
      </c>
      <c r="E17" s="7" t="s">
        <v>206</v>
      </c>
      <c r="F17" s="7">
        <v>40</v>
      </c>
      <c r="G17" s="7" t="s">
        <v>207</v>
      </c>
      <c r="H17" s="7"/>
      <c r="I17" s="7" t="s">
        <v>230</v>
      </c>
      <c r="J17" s="8" t="s">
        <v>238</v>
      </c>
    </row>
  </sheetData>
  <autoFilter ref="A2:J17" xr:uid="{00000000-0009-0000-0000-000002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4" customWidth="1"/>
    <col min="2" max="2" width="18" customWidth="1"/>
    <col min="3" max="3" width="26" customWidth="1"/>
    <col min="4" max="4" width="18" customWidth="1"/>
    <col min="5" max="5" width="16" customWidth="1"/>
    <col min="6" max="7" width="10" customWidth="1"/>
    <col min="8" max="8" width="9" customWidth="1"/>
    <col min="9" max="18" width="8" customWidth="1"/>
  </cols>
  <sheetData>
    <row r="1" spans="1:18" ht="33.950000000000003" customHeight="1" x14ac:dyDescent="0.3">
      <c r="A1" s="1" t="s">
        <v>239</v>
      </c>
      <c r="B1" s="1" t="s">
        <v>240</v>
      </c>
      <c r="C1" s="1"/>
      <c r="D1" s="1" t="s">
        <v>241</v>
      </c>
      <c r="E1" s="1" t="s">
        <v>168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</row>
    <row r="2" spans="1:18" ht="18" customHeight="1" x14ac:dyDescent="0.3">
      <c r="A2" s="2" t="s">
        <v>255</v>
      </c>
      <c r="B2" s="2" t="s">
        <v>169</v>
      </c>
      <c r="C2" s="2" t="s">
        <v>256</v>
      </c>
      <c r="D2" s="2" t="s">
        <v>257</v>
      </c>
      <c r="E2" s="2" t="s">
        <v>176</v>
      </c>
      <c r="F2" s="2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  <c r="Q2" s="2" t="s">
        <v>269</v>
      </c>
      <c r="R2" s="2" t="s">
        <v>270</v>
      </c>
    </row>
    <row r="3" spans="1:18" ht="18" customHeight="1" x14ac:dyDescent="0.3">
      <c r="A3" s="3" t="s">
        <v>271</v>
      </c>
      <c r="B3" s="3" t="s">
        <v>178</v>
      </c>
      <c r="C3" s="3" t="s">
        <v>272</v>
      </c>
      <c r="D3" s="3" t="s">
        <v>273</v>
      </c>
      <c r="E3" s="3" t="s">
        <v>185</v>
      </c>
      <c r="F3" s="3" t="s">
        <v>274</v>
      </c>
      <c r="G3" s="3" t="s">
        <v>275</v>
      </c>
      <c r="H3" s="3" t="s">
        <v>276</v>
      </c>
      <c r="I3" s="3" t="s">
        <v>277</v>
      </c>
      <c r="J3" s="3" t="s">
        <v>278</v>
      </c>
      <c r="K3" s="3" t="s">
        <v>279</v>
      </c>
      <c r="L3" s="3" t="s">
        <v>280</v>
      </c>
      <c r="M3" s="3" t="s">
        <v>281</v>
      </c>
      <c r="N3" s="3" t="s">
        <v>282</v>
      </c>
      <c r="O3" s="3" t="s">
        <v>283</v>
      </c>
      <c r="P3" s="3" t="s">
        <v>284</v>
      </c>
      <c r="Q3" s="3" t="s">
        <v>285</v>
      </c>
      <c r="R3" s="3" t="s">
        <v>286</v>
      </c>
    </row>
    <row r="4" spans="1:18" ht="15.95" customHeight="1" x14ac:dyDescent="0.3">
      <c r="A4" s="4" t="s">
        <v>45</v>
      </c>
      <c r="B4" s="4" t="s">
        <v>45</v>
      </c>
      <c r="C4" s="4" t="s">
        <v>45</v>
      </c>
      <c r="D4" s="4" t="s">
        <v>46</v>
      </c>
      <c r="E4" s="4" t="s">
        <v>46</v>
      </c>
      <c r="F4" s="4" t="s">
        <v>46</v>
      </c>
      <c r="G4" s="4" t="s">
        <v>47</v>
      </c>
      <c r="H4" s="4" t="s">
        <v>48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47</v>
      </c>
    </row>
    <row r="5" spans="1:18" x14ac:dyDescent="0.3">
      <c r="A5" s="5" t="s">
        <v>287</v>
      </c>
      <c r="B5" s="5" t="s">
        <v>187</v>
      </c>
      <c r="C5" s="11" t="s">
        <v>193</v>
      </c>
      <c r="D5" s="5" t="s">
        <v>21</v>
      </c>
      <c r="E5" s="5" t="s">
        <v>192</v>
      </c>
      <c r="F5" s="5" t="s">
        <v>288</v>
      </c>
      <c r="G5" s="5">
        <v>0</v>
      </c>
      <c r="H5" s="5">
        <v>1</v>
      </c>
      <c r="I5" s="12">
        <v>4.0599999999999996</v>
      </c>
      <c r="J5" s="13">
        <f t="shared" ref="J5:J10" si="0">ROUND($I5+($R5-$I5)*(2-1)/9,2)</f>
        <v>3.61</v>
      </c>
      <c r="K5" s="14">
        <f t="shared" ref="K5:K10" si="1">ROUND($I5+($R5-$I5)*(3-1)/9,2)</f>
        <v>3.16</v>
      </c>
      <c r="L5" s="14">
        <f t="shared" ref="L5:L10" si="2">ROUND($I5+($R5-$I5)*(4-1)/9,2)</f>
        <v>2.71</v>
      </c>
      <c r="M5" s="14">
        <f t="shared" ref="M5:M10" si="3">ROUND($I5+($R5-$I5)*(5-1)/9,2)</f>
        <v>2.2599999999999998</v>
      </c>
      <c r="N5" s="14">
        <f t="shared" ref="N5:N10" si="4">ROUND($I5+($R5-$I5)*(6-1)/9,2)</f>
        <v>1.8</v>
      </c>
      <c r="O5" s="14">
        <f t="shared" ref="O5:O10" si="5">ROUND($I5+($R5-$I5)*(7-1)/9,2)</f>
        <v>1.35</v>
      </c>
      <c r="P5" s="14">
        <f t="shared" ref="P5:P10" si="6">ROUND($I5+($R5-$I5)*(8-1)/9,2)</f>
        <v>0.9</v>
      </c>
      <c r="Q5" s="14">
        <f t="shared" ref="Q5:Q10" si="7">ROUND($I5+($R5-$I5)*(9-1)/9,2)</f>
        <v>0.45</v>
      </c>
    </row>
    <row r="6" spans="1:18" x14ac:dyDescent="0.3">
      <c r="A6" s="5" t="s">
        <v>289</v>
      </c>
      <c r="B6" s="5" t="s">
        <v>194</v>
      </c>
      <c r="C6" s="5" t="s">
        <v>290</v>
      </c>
      <c r="D6" s="5" t="s">
        <v>115</v>
      </c>
      <c r="E6" s="5" t="s">
        <v>192</v>
      </c>
      <c r="F6" s="5" t="s">
        <v>291</v>
      </c>
      <c r="G6" s="5">
        <v>-1</v>
      </c>
      <c r="H6" s="5">
        <v>1</v>
      </c>
      <c r="I6" s="12">
        <v>14.5</v>
      </c>
      <c r="J6" s="13">
        <f t="shared" si="0"/>
        <v>12.89</v>
      </c>
      <c r="K6" s="14">
        <f t="shared" si="1"/>
        <v>11.28</v>
      </c>
      <c r="L6" s="14">
        <f t="shared" si="2"/>
        <v>9.67</v>
      </c>
      <c r="M6" s="14">
        <f t="shared" si="3"/>
        <v>8.06</v>
      </c>
      <c r="N6" s="14">
        <f t="shared" si="4"/>
        <v>6.44</v>
      </c>
      <c r="O6" s="14">
        <f t="shared" si="5"/>
        <v>4.83</v>
      </c>
      <c r="P6" s="14">
        <f t="shared" si="6"/>
        <v>3.22</v>
      </c>
      <c r="Q6" s="14">
        <f t="shared" si="7"/>
        <v>1.61</v>
      </c>
    </row>
    <row r="7" spans="1:18" x14ac:dyDescent="0.3">
      <c r="A7" s="5" t="s">
        <v>292</v>
      </c>
      <c r="B7" s="5" t="s">
        <v>194</v>
      </c>
      <c r="C7" s="11" t="s">
        <v>293</v>
      </c>
      <c r="D7" s="5" t="s">
        <v>115</v>
      </c>
      <c r="E7" s="5" t="s">
        <v>215</v>
      </c>
      <c r="F7" s="5" t="s">
        <v>291</v>
      </c>
      <c r="G7" s="5">
        <v>-1</v>
      </c>
      <c r="H7" s="5">
        <v>1</v>
      </c>
      <c r="I7" s="12">
        <v>29</v>
      </c>
      <c r="J7" s="13">
        <f t="shared" si="0"/>
        <v>25.78</v>
      </c>
      <c r="K7" s="14">
        <f t="shared" si="1"/>
        <v>22.56</v>
      </c>
      <c r="L7" s="14">
        <f t="shared" si="2"/>
        <v>19.329999999999998</v>
      </c>
      <c r="M7" s="14">
        <f t="shared" si="3"/>
        <v>16.11</v>
      </c>
      <c r="N7" s="14">
        <f t="shared" si="4"/>
        <v>12.89</v>
      </c>
      <c r="O7" s="14">
        <f t="shared" si="5"/>
        <v>9.67</v>
      </c>
      <c r="P7" s="14">
        <f t="shared" si="6"/>
        <v>6.44</v>
      </c>
      <c r="Q7" s="14">
        <f t="shared" si="7"/>
        <v>3.22</v>
      </c>
    </row>
    <row r="8" spans="1:18" x14ac:dyDescent="0.3">
      <c r="A8" s="5" t="s">
        <v>294</v>
      </c>
      <c r="B8" s="5" t="s">
        <v>199</v>
      </c>
      <c r="C8" s="5" t="s">
        <v>295</v>
      </c>
      <c r="D8" s="5" t="s">
        <v>296</v>
      </c>
      <c r="E8" s="5" t="s">
        <v>192</v>
      </c>
      <c r="F8" s="5" t="s">
        <v>291</v>
      </c>
      <c r="G8" s="5">
        <v>10</v>
      </c>
      <c r="H8" s="5">
        <v>5</v>
      </c>
      <c r="I8" s="12">
        <v>5.8</v>
      </c>
      <c r="J8" s="13">
        <f t="shared" si="0"/>
        <v>5.16</v>
      </c>
      <c r="K8" s="14">
        <f t="shared" si="1"/>
        <v>4.51</v>
      </c>
      <c r="L8" s="14">
        <f t="shared" si="2"/>
        <v>3.87</v>
      </c>
      <c r="M8" s="14">
        <f t="shared" si="3"/>
        <v>3.22</v>
      </c>
      <c r="N8" s="14">
        <f t="shared" si="4"/>
        <v>2.58</v>
      </c>
      <c r="O8" s="14">
        <f t="shared" si="5"/>
        <v>1.93</v>
      </c>
      <c r="P8" s="14">
        <f t="shared" si="6"/>
        <v>1.29</v>
      </c>
      <c r="Q8" s="14">
        <f t="shared" si="7"/>
        <v>0.64</v>
      </c>
    </row>
    <row r="9" spans="1:18" x14ac:dyDescent="0.3">
      <c r="A9" s="5" t="s">
        <v>297</v>
      </c>
      <c r="B9" s="5" t="s">
        <v>199</v>
      </c>
      <c r="C9" s="5" t="s">
        <v>298</v>
      </c>
      <c r="D9" s="5" t="s">
        <v>299</v>
      </c>
      <c r="E9" s="5" t="s">
        <v>192</v>
      </c>
      <c r="F9" s="5" t="s">
        <v>291</v>
      </c>
      <c r="G9" s="5">
        <v>10</v>
      </c>
      <c r="H9" s="5">
        <v>5</v>
      </c>
      <c r="I9" s="12">
        <v>1.1599999999999999</v>
      </c>
      <c r="J9" s="13">
        <f t="shared" si="0"/>
        <v>1.03</v>
      </c>
      <c r="K9" s="14">
        <f t="shared" si="1"/>
        <v>0.9</v>
      </c>
      <c r="L9" s="14">
        <f t="shared" si="2"/>
        <v>0.77</v>
      </c>
      <c r="M9" s="14">
        <f t="shared" si="3"/>
        <v>0.64</v>
      </c>
      <c r="N9" s="14">
        <f t="shared" si="4"/>
        <v>0.52</v>
      </c>
      <c r="O9" s="14">
        <f t="shared" si="5"/>
        <v>0.39</v>
      </c>
      <c r="P9" s="14">
        <f t="shared" si="6"/>
        <v>0.26</v>
      </c>
      <c r="Q9" s="14">
        <f t="shared" si="7"/>
        <v>0.13</v>
      </c>
    </row>
    <row r="10" spans="1:18" x14ac:dyDescent="0.3">
      <c r="A10" s="5" t="s">
        <v>300</v>
      </c>
      <c r="B10" s="5" t="s">
        <v>203</v>
      </c>
      <c r="C10" s="5" t="s">
        <v>301</v>
      </c>
      <c r="D10" s="5" t="s">
        <v>302</v>
      </c>
      <c r="E10" s="5" t="s">
        <v>208</v>
      </c>
      <c r="F10" s="5" t="s">
        <v>291</v>
      </c>
      <c r="G10" s="5">
        <v>10</v>
      </c>
      <c r="H10" s="5">
        <v>1</v>
      </c>
      <c r="I10" s="12">
        <v>5.8</v>
      </c>
      <c r="J10" s="13">
        <f t="shared" si="0"/>
        <v>5.16</v>
      </c>
      <c r="K10" s="14">
        <f t="shared" si="1"/>
        <v>4.51</v>
      </c>
      <c r="L10" s="14">
        <f t="shared" si="2"/>
        <v>3.87</v>
      </c>
      <c r="M10" s="14">
        <f t="shared" si="3"/>
        <v>3.22</v>
      </c>
      <c r="N10" s="14">
        <f t="shared" si="4"/>
        <v>2.58</v>
      </c>
      <c r="O10" s="14">
        <f t="shared" si="5"/>
        <v>1.93</v>
      </c>
      <c r="P10" s="14">
        <f t="shared" si="6"/>
        <v>1.29</v>
      </c>
      <c r="Q10" s="14">
        <f t="shared" si="7"/>
        <v>0.64</v>
      </c>
    </row>
    <row r="11" spans="1:18" x14ac:dyDescent="0.3">
      <c r="A11" s="6" t="s">
        <v>303</v>
      </c>
      <c r="B11" s="7" t="s">
        <v>210</v>
      </c>
      <c r="C11" s="8" t="s">
        <v>304</v>
      </c>
      <c r="D11" s="7" t="s">
        <v>21</v>
      </c>
      <c r="E11" s="7" t="s">
        <v>192</v>
      </c>
      <c r="F11" s="7" t="s">
        <v>288</v>
      </c>
      <c r="G11" s="7">
        <v>0</v>
      </c>
      <c r="H11" s="7">
        <v>3</v>
      </c>
      <c r="I11" s="7"/>
      <c r="J11" s="7" t="s">
        <v>305</v>
      </c>
    </row>
    <row r="12" spans="1:18" x14ac:dyDescent="0.3">
      <c r="A12" s="6" t="s">
        <v>306</v>
      </c>
      <c r="B12" s="7" t="s">
        <v>210</v>
      </c>
      <c r="C12" s="7" t="s">
        <v>307</v>
      </c>
      <c r="D12" s="7" t="s">
        <v>115</v>
      </c>
      <c r="E12" s="7" t="s">
        <v>192</v>
      </c>
      <c r="F12" s="7" t="s">
        <v>291</v>
      </c>
      <c r="G12" s="7">
        <v>5</v>
      </c>
      <c r="H12" s="7">
        <v>1</v>
      </c>
      <c r="I12" s="7"/>
      <c r="J12" s="7" t="s">
        <v>308</v>
      </c>
    </row>
    <row r="13" spans="1:18" x14ac:dyDescent="0.3">
      <c r="A13" s="6" t="s">
        <v>309</v>
      </c>
      <c r="B13" s="7" t="s">
        <v>210</v>
      </c>
      <c r="C13" s="7" t="s">
        <v>310</v>
      </c>
      <c r="D13" s="7" t="s">
        <v>311</v>
      </c>
      <c r="E13" s="7" t="s">
        <v>192</v>
      </c>
      <c r="F13" s="7" t="s">
        <v>291</v>
      </c>
      <c r="G13" s="7">
        <v>5</v>
      </c>
      <c r="H13" s="7">
        <v>1</v>
      </c>
      <c r="I13" s="7"/>
      <c r="J13" s="7" t="s">
        <v>312</v>
      </c>
    </row>
    <row r="14" spans="1:18" x14ac:dyDescent="0.3">
      <c r="A14" s="6" t="s">
        <v>313</v>
      </c>
      <c r="B14" s="7" t="s">
        <v>210</v>
      </c>
      <c r="C14" s="7" t="s">
        <v>219</v>
      </c>
      <c r="D14" s="7" t="s">
        <v>314</v>
      </c>
      <c r="E14" s="7" t="s">
        <v>192</v>
      </c>
      <c r="F14" s="7" t="s">
        <v>291</v>
      </c>
      <c r="G14" s="7">
        <v>5</v>
      </c>
      <c r="H14" s="7">
        <v>1</v>
      </c>
      <c r="I14" s="7"/>
      <c r="J14" s="7" t="s">
        <v>315</v>
      </c>
    </row>
    <row r="15" spans="1:18" x14ac:dyDescent="0.3">
      <c r="A15" s="6" t="s">
        <v>316</v>
      </c>
      <c r="B15" s="7" t="s">
        <v>217</v>
      </c>
      <c r="C15" s="7" t="s">
        <v>219</v>
      </c>
      <c r="D15" s="7" t="s">
        <v>314</v>
      </c>
      <c r="E15" s="7" t="s">
        <v>192</v>
      </c>
      <c r="F15" s="7" t="s">
        <v>291</v>
      </c>
      <c r="G15" s="7">
        <v>5</v>
      </c>
      <c r="H15" s="7">
        <v>1</v>
      </c>
      <c r="I15" s="7"/>
      <c r="J15" s="7" t="s">
        <v>317</v>
      </c>
    </row>
    <row r="16" spans="1:18" x14ac:dyDescent="0.3">
      <c r="A16" s="6" t="s">
        <v>318</v>
      </c>
      <c r="B16" s="7" t="s">
        <v>220</v>
      </c>
      <c r="C16" s="7" t="s">
        <v>319</v>
      </c>
      <c r="D16" s="7" t="s">
        <v>320</v>
      </c>
      <c r="E16" s="7" t="s">
        <v>192</v>
      </c>
      <c r="F16" s="7" t="s">
        <v>291</v>
      </c>
      <c r="G16" s="7">
        <v>-1</v>
      </c>
      <c r="H16" s="7">
        <v>30</v>
      </c>
      <c r="I16" s="7"/>
      <c r="J16" s="7" t="s">
        <v>321</v>
      </c>
    </row>
    <row r="17" spans="1:10" x14ac:dyDescent="0.3">
      <c r="A17" s="6" t="s">
        <v>322</v>
      </c>
      <c r="B17" s="7" t="s">
        <v>220</v>
      </c>
      <c r="C17" s="7" t="s">
        <v>323</v>
      </c>
      <c r="D17" s="7" t="s">
        <v>324</v>
      </c>
      <c r="E17" s="7" t="s">
        <v>192</v>
      </c>
      <c r="F17" s="7" t="s">
        <v>291</v>
      </c>
      <c r="G17" s="7">
        <v>5</v>
      </c>
      <c r="H17" s="7">
        <v>1</v>
      </c>
      <c r="I17" s="7"/>
      <c r="J17" s="7" t="s">
        <v>325</v>
      </c>
    </row>
    <row r="18" spans="1:10" x14ac:dyDescent="0.3">
      <c r="A18" s="6" t="s">
        <v>326</v>
      </c>
      <c r="B18" s="7" t="s">
        <v>224</v>
      </c>
      <c r="C18" s="7" t="s">
        <v>327</v>
      </c>
      <c r="D18" s="7" t="s">
        <v>296</v>
      </c>
      <c r="E18" s="7" t="s">
        <v>192</v>
      </c>
      <c r="F18" s="7" t="s">
        <v>291</v>
      </c>
      <c r="G18" s="7">
        <v>15</v>
      </c>
      <c r="H18" s="7">
        <v>1</v>
      </c>
      <c r="I18" s="7"/>
      <c r="J18" s="7" t="s">
        <v>321</v>
      </c>
    </row>
    <row r="19" spans="1:10" x14ac:dyDescent="0.3">
      <c r="A19" s="6" t="s">
        <v>328</v>
      </c>
      <c r="B19" s="7" t="s">
        <v>224</v>
      </c>
      <c r="C19" s="7" t="s">
        <v>329</v>
      </c>
      <c r="D19" s="7" t="s">
        <v>330</v>
      </c>
      <c r="E19" s="7" t="s">
        <v>192</v>
      </c>
      <c r="F19" s="7" t="s">
        <v>291</v>
      </c>
      <c r="G19" s="7">
        <v>0</v>
      </c>
      <c r="H19" s="7">
        <v>1</v>
      </c>
      <c r="I19" s="7"/>
      <c r="J19" s="7" t="s">
        <v>331</v>
      </c>
    </row>
    <row r="20" spans="1:10" x14ac:dyDescent="0.3">
      <c r="A20" s="6" t="s">
        <v>332</v>
      </c>
      <c r="B20" s="7" t="s">
        <v>227</v>
      </c>
      <c r="C20" s="7" t="s">
        <v>323</v>
      </c>
      <c r="D20" s="7" t="s">
        <v>324</v>
      </c>
      <c r="E20" s="7" t="s">
        <v>192</v>
      </c>
      <c r="F20" s="7" t="s">
        <v>291</v>
      </c>
      <c r="G20" s="7">
        <v>10</v>
      </c>
      <c r="H20" s="7">
        <v>1</v>
      </c>
      <c r="I20" s="7"/>
      <c r="J20" s="7" t="s">
        <v>333</v>
      </c>
    </row>
    <row r="22" spans="1:10" x14ac:dyDescent="0.3">
      <c r="A22" s="10" t="s">
        <v>334</v>
      </c>
    </row>
    <row r="23" spans="1:10" x14ac:dyDescent="0.3">
      <c r="A23" s="10" t="s">
        <v>335</v>
      </c>
    </row>
    <row r="24" spans="1:10" x14ac:dyDescent="0.3">
      <c r="A24" s="10" t="s">
        <v>336</v>
      </c>
    </row>
  </sheetData>
  <autoFilter ref="A2:R20" xr:uid="{00000000-0009-0000-0000-000003000000}"/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3" customWidth="1"/>
    <col min="2" max="2" width="18" customWidth="1"/>
    <col min="3" max="4" width="26" customWidth="1"/>
    <col min="5" max="5" width="48" customWidth="1"/>
    <col min="6" max="6" width="11" customWidth="1"/>
  </cols>
  <sheetData>
    <row r="1" spans="1:6" ht="33.950000000000003" customHeight="1" x14ac:dyDescent="0.3">
      <c r="A1" s="1" t="s">
        <v>337</v>
      </c>
      <c r="B1" s="1" t="s">
        <v>240</v>
      </c>
      <c r="C1" s="1" t="s">
        <v>338</v>
      </c>
      <c r="D1" s="1" t="s">
        <v>339</v>
      </c>
      <c r="E1" s="1"/>
      <c r="F1" s="1" t="s">
        <v>340</v>
      </c>
    </row>
    <row r="2" spans="1:6" ht="18" customHeight="1" x14ac:dyDescent="0.3">
      <c r="A2" s="2" t="s">
        <v>341</v>
      </c>
      <c r="B2" s="2" t="s">
        <v>169</v>
      </c>
      <c r="C2" s="2" t="s">
        <v>174</v>
      </c>
      <c r="D2" s="2" t="s">
        <v>342</v>
      </c>
      <c r="E2" s="2" t="s">
        <v>343</v>
      </c>
      <c r="F2" s="2" t="s">
        <v>259</v>
      </c>
    </row>
    <row r="3" spans="1:6" ht="18" customHeight="1" x14ac:dyDescent="0.3">
      <c r="A3" s="3" t="s">
        <v>344</v>
      </c>
      <c r="B3" s="3" t="s">
        <v>178</v>
      </c>
      <c r="C3" s="3" t="s">
        <v>345</v>
      </c>
      <c r="D3" s="3" t="s">
        <v>346</v>
      </c>
      <c r="E3" s="3" t="s">
        <v>347</v>
      </c>
      <c r="F3" s="3" t="s">
        <v>275</v>
      </c>
    </row>
    <row r="4" spans="1:6" ht="15.95" customHeight="1" x14ac:dyDescent="0.3">
      <c r="A4" s="4" t="s">
        <v>45</v>
      </c>
      <c r="B4" s="4" t="s">
        <v>45</v>
      </c>
      <c r="C4" s="4" t="s">
        <v>45</v>
      </c>
      <c r="D4" s="4" t="s">
        <v>45</v>
      </c>
      <c r="E4" s="4" t="s">
        <v>45</v>
      </c>
      <c r="F4" s="4" t="s">
        <v>47</v>
      </c>
    </row>
    <row r="5" spans="1:6" x14ac:dyDescent="0.3">
      <c r="A5" s="5" t="s">
        <v>348</v>
      </c>
      <c r="B5" s="5" t="s">
        <v>187</v>
      </c>
      <c r="C5" s="5" t="s">
        <v>349</v>
      </c>
      <c r="D5" s="5" t="s">
        <v>350</v>
      </c>
      <c r="E5" s="11" t="s">
        <v>351</v>
      </c>
      <c r="F5" s="5"/>
    </row>
    <row r="6" spans="1:6" x14ac:dyDescent="0.3">
      <c r="A6" s="5" t="s">
        <v>352</v>
      </c>
      <c r="B6" s="5" t="s">
        <v>187</v>
      </c>
      <c r="C6" s="5" t="s">
        <v>353</v>
      </c>
      <c r="D6" s="5" t="s">
        <v>354</v>
      </c>
      <c r="E6" s="11" t="s">
        <v>355</v>
      </c>
      <c r="F6" s="5">
        <v>0.5</v>
      </c>
    </row>
    <row r="7" spans="1:6" x14ac:dyDescent="0.3">
      <c r="A7" s="5" t="s">
        <v>356</v>
      </c>
      <c r="B7" s="5" t="s">
        <v>187</v>
      </c>
      <c r="C7" s="5" t="s">
        <v>353</v>
      </c>
      <c r="D7" s="5" t="s">
        <v>357</v>
      </c>
      <c r="E7" s="5" t="s">
        <v>358</v>
      </c>
      <c r="F7" s="5">
        <v>0.5</v>
      </c>
    </row>
    <row r="8" spans="1:6" x14ac:dyDescent="0.3">
      <c r="A8" s="5" t="s">
        <v>359</v>
      </c>
      <c r="B8" s="5" t="s">
        <v>194</v>
      </c>
      <c r="C8" s="5" t="s">
        <v>360</v>
      </c>
      <c r="D8" s="5" t="s">
        <v>361</v>
      </c>
      <c r="E8" s="11" t="s">
        <v>362</v>
      </c>
      <c r="F8" s="5"/>
    </row>
    <row r="9" spans="1:6" x14ac:dyDescent="0.3">
      <c r="A9" s="5" t="s">
        <v>363</v>
      </c>
      <c r="B9" s="5" t="s">
        <v>194</v>
      </c>
      <c r="C9" s="5" t="s">
        <v>360</v>
      </c>
      <c r="D9" s="5" t="s">
        <v>364</v>
      </c>
      <c r="E9" s="11" t="s">
        <v>365</v>
      </c>
      <c r="F9" s="5"/>
    </row>
    <row r="10" spans="1:6" x14ac:dyDescent="0.3">
      <c r="A10" s="5" t="s">
        <v>366</v>
      </c>
      <c r="B10" s="5" t="s">
        <v>199</v>
      </c>
      <c r="C10" s="11" t="s">
        <v>367</v>
      </c>
      <c r="D10" s="5" t="s">
        <v>368</v>
      </c>
      <c r="E10" s="11" t="s">
        <v>369</v>
      </c>
      <c r="F10" s="5"/>
    </row>
    <row r="11" spans="1:6" x14ac:dyDescent="0.3">
      <c r="A11" s="5" t="s">
        <v>370</v>
      </c>
      <c r="B11" s="5" t="s">
        <v>199</v>
      </c>
      <c r="C11" s="5" t="s">
        <v>371</v>
      </c>
      <c r="D11" s="5" t="s">
        <v>357</v>
      </c>
      <c r="E11" s="5" t="s">
        <v>372</v>
      </c>
      <c r="F11" s="5">
        <v>10</v>
      </c>
    </row>
    <row r="12" spans="1:6" x14ac:dyDescent="0.3">
      <c r="A12" s="5" t="s">
        <v>373</v>
      </c>
      <c r="B12" s="5" t="s">
        <v>203</v>
      </c>
      <c r="C12" s="5" t="s">
        <v>374</v>
      </c>
      <c r="D12" s="5" t="s">
        <v>375</v>
      </c>
      <c r="E12" s="5" t="s">
        <v>376</v>
      </c>
      <c r="F12" s="5">
        <v>1</v>
      </c>
    </row>
  </sheetData>
  <autoFilter ref="A2:F12" xr:uid="{00000000-0009-0000-0000-000004000000}"/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26" sqref="E26"/>
    </sheetView>
  </sheetViews>
  <sheetFormatPr defaultRowHeight="16.5" x14ac:dyDescent="0.3"/>
  <cols>
    <col min="1" max="1" width="10" customWidth="1"/>
    <col min="2" max="2" width="16" customWidth="1"/>
    <col min="3" max="3" width="22" customWidth="1"/>
    <col min="4" max="4" width="14" customWidth="1"/>
    <col min="5" max="5" width="34" customWidth="1"/>
    <col min="6" max="6" width="56" customWidth="1"/>
    <col min="7" max="7" width="42" customWidth="1"/>
  </cols>
  <sheetData>
    <row r="1" spans="1:7" ht="33.950000000000003" customHeight="1" x14ac:dyDescent="0.3">
      <c r="A1" s="1"/>
      <c r="B1" s="1" t="s">
        <v>377</v>
      </c>
      <c r="C1" s="1"/>
      <c r="D1" s="1"/>
      <c r="E1" s="1"/>
      <c r="F1" s="1"/>
      <c r="G1" s="1"/>
    </row>
    <row r="2" spans="1:7" ht="18" customHeight="1" x14ac:dyDescent="0.3">
      <c r="A2" s="2" t="s">
        <v>378</v>
      </c>
      <c r="B2" s="2" t="s">
        <v>379</v>
      </c>
      <c r="C2" s="2" t="s">
        <v>380</v>
      </c>
      <c r="D2" s="2" t="s">
        <v>381</v>
      </c>
      <c r="E2" s="2" t="s">
        <v>382</v>
      </c>
      <c r="F2" s="2" t="s">
        <v>383</v>
      </c>
      <c r="G2" s="2" t="s">
        <v>384</v>
      </c>
    </row>
    <row r="3" spans="1:7" ht="18" customHeight="1" x14ac:dyDescent="0.3">
      <c r="A3" s="3" t="s">
        <v>385</v>
      </c>
      <c r="B3" s="3" t="s">
        <v>386</v>
      </c>
      <c r="C3" s="3" t="s">
        <v>387</v>
      </c>
      <c r="D3" s="3" t="s">
        <v>388</v>
      </c>
      <c r="E3" s="3" t="s">
        <v>389</v>
      </c>
      <c r="F3" s="3" t="s">
        <v>390</v>
      </c>
      <c r="G3" s="3" t="s">
        <v>391</v>
      </c>
    </row>
    <row r="4" spans="1:7" ht="15.95" customHeight="1" x14ac:dyDescent="0.3">
      <c r="A4" s="4" t="s">
        <v>45</v>
      </c>
      <c r="B4" s="4" t="s">
        <v>45</v>
      </c>
      <c r="C4" s="4" t="s">
        <v>45</v>
      </c>
      <c r="D4" s="4" t="s">
        <v>45</v>
      </c>
      <c r="E4" s="4" t="s">
        <v>45</v>
      </c>
      <c r="F4" s="4" t="s">
        <v>45</v>
      </c>
      <c r="G4" s="4" t="s">
        <v>45</v>
      </c>
    </row>
    <row r="5" spans="1:7" ht="62.1" customHeight="1" x14ac:dyDescent="0.3">
      <c r="A5" s="5" t="s">
        <v>392</v>
      </c>
      <c r="B5" s="5" t="s">
        <v>287</v>
      </c>
      <c r="C5" s="5" t="s">
        <v>393</v>
      </c>
      <c r="D5" s="5" t="s">
        <v>394</v>
      </c>
      <c r="E5" s="11" t="s">
        <v>395</v>
      </c>
      <c r="F5" s="11" t="s">
        <v>396</v>
      </c>
      <c r="G5" s="11" t="s">
        <v>397</v>
      </c>
    </row>
    <row r="6" spans="1:7" ht="62.1" customHeight="1" x14ac:dyDescent="0.3">
      <c r="A6" s="5" t="s">
        <v>398</v>
      </c>
      <c r="B6" s="5" t="s">
        <v>289</v>
      </c>
      <c r="C6" s="5" t="s">
        <v>399</v>
      </c>
      <c r="D6" s="5" t="s">
        <v>400</v>
      </c>
      <c r="E6" s="11" t="s">
        <v>401</v>
      </c>
      <c r="F6" s="11" t="s">
        <v>402</v>
      </c>
      <c r="G6" s="11" t="s">
        <v>403</v>
      </c>
    </row>
    <row r="7" spans="1:7" ht="62.1" customHeight="1" x14ac:dyDescent="0.3">
      <c r="A7" s="5" t="s">
        <v>404</v>
      </c>
      <c r="B7" s="5" t="s">
        <v>292</v>
      </c>
      <c r="C7" s="5" t="s">
        <v>405</v>
      </c>
      <c r="D7" s="5" t="s">
        <v>406</v>
      </c>
      <c r="E7" s="11" t="s">
        <v>407</v>
      </c>
      <c r="F7" s="11" t="s">
        <v>408</v>
      </c>
      <c r="G7" s="11" t="s">
        <v>409</v>
      </c>
    </row>
    <row r="8" spans="1:7" ht="62.1" customHeight="1" x14ac:dyDescent="0.3">
      <c r="A8" s="5" t="s">
        <v>410</v>
      </c>
      <c r="B8" s="5" t="s">
        <v>199</v>
      </c>
      <c r="C8" s="5" t="s">
        <v>411</v>
      </c>
      <c r="D8" s="5" t="s">
        <v>412</v>
      </c>
      <c r="E8" s="11" t="s">
        <v>413</v>
      </c>
      <c r="F8" s="11" t="s">
        <v>414</v>
      </c>
      <c r="G8" s="11" t="s">
        <v>415</v>
      </c>
    </row>
    <row r="9" spans="1:7" ht="62.1" customHeight="1" x14ac:dyDescent="0.3">
      <c r="A9" s="5" t="s">
        <v>416</v>
      </c>
      <c r="B9" s="5" t="s">
        <v>297</v>
      </c>
      <c r="C9" s="5" t="s">
        <v>417</v>
      </c>
      <c r="D9" s="5" t="s">
        <v>418</v>
      </c>
      <c r="E9" s="11" t="s">
        <v>419</v>
      </c>
      <c r="F9" s="11" t="s">
        <v>420</v>
      </c>
      <c r="G9" s="11" t="s">
        <v>421</v>
      </c>
    </row>
    <row r="10" spans="1:7" ht="62.1" customHeight="1" x14ac:dyDescent="0.3">
      <c r="A10" s="5" t="s">
        <v>422</v>
      </c>
      <c r="B10" s="5" t="s">
        <v>300</v>
      </c>
      <c r="C10" s="5" t="s">
        <v>423</v>
      </c>
      <c r="D10" s="5" t="s">
        <v>424</v>
      </c>
      <c r="E10" s="11" t="s">
        <v>425</v>
      </c>
      <c r="F10" s="11" t="s">
        <v>426</v>
      </c>
      <c r="G10" s="11" t="s">
        <v>427</v>
      </c>
    </row>
    <row r="11" spans="1:7" ht="62.1" customHeight="1" x14ac:dyDescent="0.3">
      <c r="A11" s="5" t="s">
        <v>428</v>
      </c>
      <c r="B11" s="5" t="s">
        <v>49</v>
      </c>
      <c r="C11" s="5" t="s">
        <v>429</v>
      </c>
      <c r="D11" s="5" t="s">
        <v>430</v>
      </c>
      <c r="E11" s="11" t="s">
        <v>431</v>
      </c>
      <c r="F11" s="11" t="s">
        <v>432</v>
      </c>
      <c r="G11" s="11" t="s">
        <v>433</v>
      </c>
    </row>
    <row r="12" spans="1:7" ht="62.1" customHeight="1" x14ac:dyDescent="0.3">
      <c r="A12" s="5" t="s">
        <v>434</v>
      </c>
      <c r="B12" s="5" t="s">
        <v>49</v>
      </c>
      <c r="C12" s="5" t="s">
        <v>35</v>
      </c>
      <c r="D12" s="5" t="s">
        <v>55</v>
      </c>
      <c r="E12" s="11" t="s">
        <v>435</v>
      </c>
      <c r="F12" s="11" t="s">
        <v>436</v>
      </c>
      <c r="G12" s="11" t="s">
        <v>437</v>
      </c>
    </row>
  </sheetData>
  <autoFilter ref="A2:G12" xr:uid="{00000000-0009-0000-0000-000005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CharacterTable</vt:lpstr>
      <vt:lpstr>WeaponTable</vt:lpstr>
      <vt:lpstr>SkillTable</vt:lpstr>
      <vt:lpstr>SkillEffectTable</vt:lpstr>
      <vt:lpstr>VFXTable</vt:lpstr>
      <vt:lpstr>BalanceNote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2026-08-19T00:19:12Z</dcterms:created>
  <dcterms:modified xsi:type="dcterms:W3CDTF">2026-09-01T14:44:05Z</dcterms:modified>
</cp:coreProperties>
</file>